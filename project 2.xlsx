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3.xml.rels" ContentType="application/vnd.openxmlformats-package.relationships+xml"/>
  <Override PartName="/xl/worksheets/_rels/sheet2.xml.rels" ContentType="application/vnd.openxmlformats-package.relationships+xml"/>
  <Override PartName="/xl/worksheets/_rels/sheet12.xml.rels" ContentType="application/vnd.openxmlformats-package.relationships+xml"/>
  <Override PartName="/xl/worksheets/_rels/sheet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Contents" sheetId="2" state="visible" r:id="rId4"/>
    <sheet name="Project Instructions" sheetId="3" state="visible" r:id="rId5"/>
    <sheet name="Dataset" sheetId="4" state="visible" r:id="rId6"/>
    <sheet name="Customer Analysis" sheetId="5" state="visible" r:id="rId7"/>
    <sheet name="High Value Customers" sheetId="6" state="visible" r:id="rId8"/>
    <sheet name="What-If Analysis" sheetId="7" state="visible" r:id="rId9"/>
    <sheet name="Regression" sheetId="8" state="visible" r:id="rId10"/>
    <sheet name="Descriptive Stats" sheetId="9" state="visible" r:id="rId11"/>
    <sheet name="Monthly Trend" sheetId="10" state="visible" r:id="rId12"/>
    <sheet name="Pivot Summary" sheetId="11" state="visible" r:id="rId13"/>
    <sheet name="Charts" sheetId="12" state="visible" r:id="rId14"/>
    <sheet name="Dashboard" sheetId="13" state="visible" r:id="rId15"/>
  </sheets>
  <definedNames>
    <definedName function="false" hidden="true" localSheetId="3" name="_xlnm._FilterDatabase" vbProcedure="false">Dataset!$A$1:$N$201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<sst xmlns="http://schemas.openxmlformats.org/spreadsheetml/2006/main" count="1120" uniqueCount="275">
  <si>
    <t xml:space="preserve">DATA  •  INSIGHTS  •  GROWTH</t>
  </si>
  <si>
    <t xml:space="preserve">X</t>
  </si>
  <si>
    <t xml:space="preserve">PROJECT</t>
  </si>
  <si>
    <t xml:space="preserve">REPORT</t>
  </si>
  <si>
    <t xml:space="preserve">●   ●   ●</t>
  </si>
  <si>
    <t xml:space="preserve">PR. 2 Analyzer – Data Analysis using Microsoft Excel</t>
  </si>
  <si>
    <t xml:space="preserve">Submitted by</t>
  </si>
  <si>
    <t xml:space="preserve">Thakkar Disha</t>
  </si>
  <si>
    <t xml:space="preserve">GR ID</t>
  </si>
  <si>
    <t xml:space="preserve">12782</t>
  </si>
  <si>
    <t xml:space="preserve">Date</t>
  </si>
  <si>
    <t xml:space="preserve">Analyze   •   Create   •   Achieve</t>
  </si>
  <si>
    <t xml:space="preserve">Contents (click a name to open the sheet)</t>
  </si>
  <si>
    <t xml:space="preserve">Project Instructions</t>
  </si>
  <si>
    <t xml:space="preserve">Topics, main tasks and deliverable (with sheet map)</t>
  </si>
  <si>
    <t xml:space="preserve">Dataset</t>
  </si>
  <si>
    <t xml:space="preserve">200 orders with sales, discount, profit and NOW() timestamp</t>
  </si>
  <si>
    <t xml:space="preserve">Customer Analysis</t>
  </si>
  <si>
    <t xml:space="preserve">Total purchase per customer, top 10 highlighted</t>
  </si>
  <si>
    <t xml:space="preserve">High Value Customers</t>
  </si>
  <si>
    <t xml:space="preserve">LARGE + INDEX + MATCH list and customer lookup</t>
  </si>
  <si>
    <t xml:space="preserve">What-If Analysis</t>
  </si>
  <si>
    <t xml:space="preserve">Effect of discount on total profit, Goal Seek set-up</t>
  </si>
  <si>
    <t xml:space="preserve">Regression</t>
  </si>
  <si>
    <t xml:space="preserve">Linear regression output (Profit vs Sales), ToolPak style</t>
  </si>
  <si>
    <t xml:space="preserve">Descriptive Stats</t>
  </si>
  <si>
    <t xml:space="preserve">Descriptive statistics, advanced analytics, histogram data</t>
  </si>
  <si>
    <t xml:space="preserve">Monthly Trend</t>
  </si>
  <si>
    <t xml:space="preserve">Monthly sales with up/down growth arrows</t>
  </si>
  <si>
    <t xml:space="preserve">Pivot Summary</t>
  </si>
  <si>
    <t xml:space="preserve">Total sales by region and product + pivot how-to</t>
  </si>
  <si>
    <t xml:space="preserve">Charts</t>
  </si>
  <si>
    <t xml:space="preserve">Bar, line, pie, histogram, what-if line and regression scatter</t>
  </si>
  <si>
    <t xml:space="preserve">Dashboard</t>
  </si>
  <si>
    <t xml:space="preserve">KPIs, charts and key insights</t>
  </si>
  <si>
    <t xml:space="preserve">PR. 2 Analyzer – Project Instructions</t>
  </si>
  <si>
    <t xml:space="preserve">Topics</t>
  </si>
  <si>
    <t xml:space="preserve">Conditional Formatting</t>
  </si>
  <si>
    <t xml:space="preserve">WHAT IF Analysis</t>
  </si>
  <si>
    <t xml:space="preserve">Linear Regression (Using Data Analysis ToolPak)</t>
  </si>
  <si>
    <t xml:space="preserve">Data Analysis Feature (Descriptive Stats, Regression, Histogram)</t>
  </si>
  <si>
    <t xml:space="preserve">Data Storytelling</t>
  </si>
  <si>
    <t xml:space="preserve">Add Symbols or Arrows in Custom Formatting</t>
  </si>
  <si>
    <t xml:space="preserve">Create Timestamp</t>
  </si>
  <si>
    <t xml:space="preserve">Find High-Value Customers using GroupBy(), INDEX() and MATCH() combination</t>
  </si>
  <si>
    <t xml:space="preserve">Advanced Descriptive Analytics</t>
  </si>
  <si>
    <t xml:space="preserve">Pivot Table with Dashboard</t>
  </si>
  <si>
    <t xml:space="preserve">Creating bar, line and pie charts</t>
  </si>
  <si>
    <t xml:space="preserve">Main Tasks  →  where it is done</t>
  </si>
  <si>
    <t xml:space="preserve">1. Highlight top 10 customers by total purchase  →  Customer Analysis</t>
  </si>
  <si>
    <t xml:space="preserve">2. WHAT IF Analysis: impact of discount on total profit  →  What-If Analysis</t>
  </si>
  <si>
    <t xml:space="preserve">3. Linear Regression (Profit vs Sales)  →  Regression</t>
  </si>
  <si>
    <t xml:space="preserve">4. Descriptive Statistics on the dataset  →  Descriptive Stats</t>
  </si>
  <si>
    <t xml:space="preserve">5. Up/down arrows on monthly sales growth  →  Monthly Trend</t>
  </si>
  <si>
    <t xml:space="preserve">6. Timestamp column using NOW()  →  Dataset (column J)</t>
  </si>
  <si>
    <t xml:space="preserve">7. High-value customers using INDEX(), MATCH() and filters  →  High Value Customers</t>
  </si>
  <si>
    <t xml:space="preserve">8. Pivot summary of total sales by region and product  →  Pivot Summary</t>
  </si>
  <si>
    <t xml:space="preserve">9. Bar, line and pie charts to visualize KPIs  →  Charts</t>
  </si>
  <si>
    <t xml:space="preserve">10. Summarize insights using a dashboard  →  Dashboard</t>
  </si>
  <si>
    <t xml:space="preserve">Deliverable</t>
  </si>
  <si>
    <t xml:space="preserve">Complete the given worksheet by applying the required formulas in the respective sheets.</t>
  </si>
  <si>
    <t xml:space="preserve">Do by hand in Excel (cannot be created by code)</t>
  </si>
  <si>
    <t xml:space="preserve">Pivot Table / PivotChart / Slicer / Timeline: see steps on the Pivot Summary sheet.</t>
  </si>
  <si>
    <t xml:space="preserve">ToolPak: File &gt; Options &gt; Add-ins &gt; Analysis ToolPak &gt; Go. Then Data &gt; Data Analysis: Regression (Y = Dataset!I2:I201, X = Dataset!E2:E201), Descriptive Statistics (Input = Dataset!E1:I201, Labels in first row), Histogram (Input = Dataset!E2:E201).</t>
  </si>
  <si>
    <t xml:space="preserve">Goal Seek / Scenario Manager: see notes at the bottom of the What-If Analysis sheet.</t>
  </si>
  <si>
    <t xml:space="preserve">Blue text / yellow fill = cells you can edit. Black = formulas.</t>
  </si>
  <si>
    <t xml:space="preserve">Customer_ID</t>
  </si>
  <si>
    <t xml:space="preserve">Customer_Name</t>
  </si>
  <si>
    <t xml:space="preserve">Region</t>
  </si>
  <si>
    <t xml:space="preserve">Product_Category</t>
  </si>
  <si>
    <t xml:space="preserve">Sales</t>
  </si>
  <si>
    <t xml:space="preserve">Quantity</t>
  </si>
  <si>
    <t xml:space="preserve">Discount</t>
  </si>
  <si>
    <t xml:space="preserve">Order_Date</t>
  </si>
  <si>
    <t xml:space="preserve">Profit</t>
  </si>
  <si>
    <t xml:space="preserve">Timestamp (NOW)</t>
  </si>
  <si>
    <t xml:space="preserve">Month Start</t>
  </si>
  <si>
    <t xml:space="preserve">Gross Sales (before discount)</t>
  </si>
  <si>
    <t xml:space="preserve">Cost (Sales − Profit)</t>
  </si>
  <si>
    <t xml:space="preserve">Profit Margin</t>
  </si>
  <si>
    <t xml:space="preserve">CUST019</t>
  </si>
  <si>
    <t xml:space="preserve">James Davis</t>
  </si>
  <si>
    <t xml:space="preserve">West</t>
  </si>
  <si>
    <t xml:space="preserve">Books</t>
  </si>
  <si>
    <t xml:space="preserve">CUST012</t>
  </si>
  <si>
    <t xml:space="preserve">Robert Anderson</t>
  </si>
  <si>
    <t xml:space="preserve">Clothing</t>
  </si>
  <si>
    <t xml:space="preserve">CUST017</t>
  </si>
  <si>
    <t xml:space="preserve">James Taylor</t>
  </si>
  <si>
    <t xml:space="preserve">East</t>
  </si>
  <si>
    <t xml:space="preserve">CUST005</t>
  </si>
  <si>
    <t xml:space="preserve">South</t>
  </si>
  <si>
    <t xml:space="preserve">Electronics</t>
  </si>
  <si>
    <t xml:space="preserve">CUST030</t>
  </si>
  <si>
    <t xml:space="preserve">James Wilson</t>
  </si>
  <si>
    <t xml:space="preserve">North</t>
  </si>
  <si>
    <t xml:space="preserve">CUST007</t>
  </si>
  <si>
    <t xml:space="preserve">Michael Anderson</t>
  </si>
  <si>
    <t xml:space="preserve">Furniture</t>
  </si>
  <si>
    <t xml:space="preserve">CUST001</t>
  </si>
  <si>
    <t xml:space="preserve">Linda Wilson</t>
  </si>
  <si>
    <t xml:space="preserve">CUST026</t>
  </si>
  <si>
    <t xml:space="preserve">Mary Davis</t>
  </si>
  <si>
    <t xml:space="preserve">CUST009</t>
  </si>
  <si>
    <t xml:space="preserve">Linda Jackson</t>
  </si>
  <si>
    <t xml:space="preserve">Central</t>
  </si>
  <si>
    <t xml:space="preserve">CUST010</t>
  </si>
  <si>
    <t xml:space="preserve">David Thomas</t>
  </si>
  <si>
    <t xml:space="preserve">CUST014</t>
  </si>
  <si>
    <t xml:space="preserve">Emma Davis</t>
  </si>
  <si>
    <t xml:space="preserve">Office Supplies</t>
  </si>
  <si>
    <t xml:space="preserve">CUST023</t>
  </si>
  <si>
    <t xml:space="preserve">CUST029</t>
  </si>
  <si>
    <t xml:space="preserve">David Smith</t>
  </si>
  <si>
    <t xml:space="preserve">Sarah Anderson</t>
  </si>
  <si>
    <t xml:space="preserve">CUST008</t>
  </si>
  <si>
    <t xml:space="preserve">Lisa Thomas</t>
  </si>
  <si>
    <t xml:space="preserve">CUST006</t>
  </si>
  <si>
    <t xml:space="preserve">Mary Jackson</t>
  </si>
  <si>
    <t xml:space="preserve">Lisa Anderson</t>
  </si>
  <si>
    <t xml:space="preserve">CUST022</t>
  </si>
  <si>
    <t xml:space="preserve">Linda Brown</t>
  </si>
  <si>
    <t xml:space="preserve">John Brown</t>
  </si>
  <si>
    <t xml:space="preserve">CUST028</t>
  </si>
  <si>
    <t xml:space="preserve">Linda Taylor</t>
  </si>
  <si>
    <t xml:space="preserve">CUST025</t>
  </si>
  <si>
    <t xml:space="preserve">David Brown</t>
  </si>
  <si>
    <t xml:space="preserve">David Davis</t>
  </si>
  <si>
    <t xml:space="preserve">CUST021</t>
  </si>
  <si>
    <t xml:space="preserve">CUST015</t>
  </si>
  <si>
    <t xml:space="preserve">Lisa Davis</t>
  </si>
  <si>
    <t xml:space="preserve">Mary Wilson</t>
  </si>
  <si>
    <t xml:space="preserve">CUST016</t>
  </si>
  <si>
    <t xml:space="preserve">Emma Wilson</t>
  </si>
  <si>
    <t xml:space="preserve">Linda Davis</t>
  </si>
  <si>
    <t xml:space="preserve">CUST011</t>
  </si>
  <si>
    <t xml:space="preserve">Sarah Davis</t>
  </si>
  <si>
    <t xml:space="preserve">CUST002</t>
  </si>
  <si>
    <t xml:space="preserve">Emma Taylor</t>
  </si>
  <si>
    <t xml:space="preserve">CUST003</t>
  </si>
  <si>
    <t xml:space="preserve">CUST020</t>
  </si>
  <si>
    <t xml:space="preserve">Linda Moore</t>
  </si>
  <si>
    <t xml:space="preserve">CUST024</t>
  </si>
  <si>
    <t xml:space="preserve">David Anderson</t>
  </si>
  <si>
    <t xml:space="preserve">CUST004</t>
  </si>
  <si>
    <t xml:space="preserve">CUST013</t>
  </si>
  <si>
    <t xml:space="preserve">CUST027</t>
  </si>
  <si>
    <t xml:space="preserve">CUST018</t>
  </si>
  <si>
    <t xml:space="preserve">Customer Analysis – total purchase per customer (top 10 highlighted)</t>
  </si>
  <si>
    <t xml:space="preserve">Total Sales = SUMIFS by Customer_ID. Top 10 rows are highlighted with conditional formatting (Rank ≤ 10).</t>
  </si>
  <si>
    <t xml:space="preserve">Orders</t>
  </si>
  <si>
    <t xml:space="preserve">Total Sales</t>
  </si>
  <si>
    <t xml:space="preserve">Total Profit</t>
  </si>
  <si>
    <t xml:space="preserve">Avg Discount</t>
  </si>
  <si>
    <t xml:space="preserve">Rank</t>
  </si>
  <si>
    <t xml:space="preserve">Top 10?</t>
  </si>
  <si>
    <t xml:space="preserve">Segment</t>
  </si>
  <si>
    <t xml:space="preserve">Total</t>
  </si>
  <si>
    <t xml:space="preserve">High-Value Customers – LARGE + INDEX + MATCH</t>
  </si>
  <si>
    <t xml:space="preserve">High-value threshold (75th percentile of total sales)</t>
  </si>
  <si>
    <t xml:space="preserve">Number of high-value customers</t>
  </si>
  <si>
    <t xml:space="preserve">Total Sales (LARGE)</t>
  </si>
  <si>
    <t xml:space="preserve">Customer_ID (INDEX/MATCH)</t>
  </si>
  <si>
    <t xml:space="preserve">Status</t>
  </si>
  <si>
    <t xml:space="preserve">Customer lookup (pick a Customer_ID)</t>
  </si>
  <si>
    <t xml:space="preserve">Customer_ID →</t>
  </si>
  <si>
    <t xml:space="preserve">What-If Analysis – impact of changing discount on total profit</t>
  </si>
  <si>
    <t xml:space="preserve">Baseline (actual data)</t>
  </si>
  <si>
    <t xml:space="preserve">Value</t>
  </si>
  <si>
    <t xml:space="preserve">Total sales (actual)</t>
  </si>
  <si>
    <t xml:space="preserve">Total profit (actual)</t>
  </si>
  <si>
    <t xml:space="preserve">Average discount (actual)</t>
  </si>
  <si>
    <t xml:space="preserve">Total gross sales (before discount)</t>
  </si>
  <si>
    <t xml:space="preserve">Total cost (Sales − Profit)</t>
  </si>
  <si>
    <t xml:space="preserve">Scenario – apply one discount to all orders</t>
  </si>
  <si>
    <t xml:space="preserve">New discount % (input)</t>
  </si>
  <si>
    <t xml:space="preserve">Scenario sales</t>
  </si>
  <si>
    <t xml:space="preserve">Scenario total profit</t>
  </si>
  <si>
    <t xml:space="preserve">Change vs actual profit</t>
  </si>
  <si>
    <t xml:space="preserve">Change %</t>
  </si>
  <si>
    <t xml:space="preserve">Discount %</t>
  </si>
  <si>
    <t xml:space="preserve">Goal Seek</t>
  </si>
  <si>
    <t xml:space="preserve">Target total profit (= actual +10%)</t>
  </si>
  <si>
    <t xml:space="preserve">Discount needed (closed-form check)</t>
  </si>
  <si>
    <t xml:space="preserve">Assumptions: gross sales = Sales ÷ (1 − Discount); cost per order = Sales − Profit and stays fixed; quantity sold does not change with discount.</t>
  </si>
  <si>
    <t xml:space="preserve">Goal Seek: Data &gt; What-If Analysis &gt; Goal Seek → Set cell B13, To value = B28, By changing cell B11 (result should match B29).</t>
  </si>
  <si>
    <t xml:space="preserve">Scenario Manager: Data &gt; What-If Analysis &gt; Scenario Manager → add scenarios (5%, 10%, 20%) changing B11; Summary result cell = B13.</t>
  </si>
  <si>
    <t xml:space="preserve">Linear Regression: Profit (Y) vs Sales (X) – Analysis ToolPak style output</t>
  </si>
  <si>
    <t xml:space="preserve">SUMMARY OUTPUT</t>
  </si>
  <si>
    <t xml:space="preserve">Regression Statistics</t>
  </si>
  <si>
    <t xml:space="preserve">Multiple R</t>
  </si>
  <si>
    <t xml:space="preserve">R Square</t>
  </si>
  <si>
    <t xml:space="preserve">Adjusted R Square</t>
  </si>
  <si>
    <t xml:space="preserve">Standard Error</t>
  </si>
  <si>
    <t xml:space="preserve">Observations</t>
  </si>
  <si>
    <t xml:space="preserve">ANOVA</t>
  </si>
  <si>
    <t xml:space="preserve">df</t>
  </si>
  <si>
    <t xml:space="preserve">SS</t>
  </si>
  <si>
    <t xml:space="preserve">MS</t>
  </si>
  <si>
    <t xml:space="preserve">F</t>
  </si>
  <si>
    <t xml:space="preserve">Significance F</t>
  </si>
  <si>
    <t xml:space="preserve">Residual</t>
  </si>
  <si>
    <t xml:space="preserve">Coefficients</t>
  </si>
  <si>
    <t xml:space="preserve">t Stat</t>
  </si>
  <si>
    <t xml:space="preserve">P-value</t>
  </si>
  <si>
    <t xml:space="preserve">Lower 95%</t>
  </si>
  <si>
    <t xml:space="preserve">Upper 95%</t>
  </si>
  <si>
    <t xml:space="preserve">Intercept</t>
  </si>
  <si>
    <t xml:space="preserve">Sales (X)</t>
  </si>
  <si>
    <t xml:space="preserve">Predict profit for sales of →</t>
  </si>
  <si>
    <t xml:space="preserve">Predicted profit</t>
  </si>
  <si>
    <t xml:space="preserve">To reproduce with the ToolPak: Data &gt; Data Analysis &gt; Regression, Input Y = Dataset!I2:I201, Input X = Dataset!E2:E201.</t>
  </si>
  <si>
    <t xml:space="preserve">Descriptive Statistics (ToolPak style) &amp; Advanced Descriptive Analytics</t>
  </si>
  <si>
    <t xml:space="preserve">Statistic</t>
  </si>
  <si>
    <t xml:space="preserve">Mean</t>
  </si>
  <si>
    <t xml:space="preserve">Median</t>
  </si>
  <si>
    <t xml:space="preserve">Mode</t>
  </si>
  <si>
    <t xml:space="preserve">Standard Deviation</t>
  </si>
  <si>
    <t xml:space="preserve">Sample Variance</t>
  </si>
  <si>
    <t xml:space="preserve">Kurtosis</t>
  </si>
  <si>
    <t xml:space="preserve">Skewness</t>
  </si>
  <si>
    <t xml:space="preserve">Range</t>
  </si>
  <si>
    <t xml:space="preserve">Minimum</t>
  </si>
  <si>
    <t xml:space="preserve">Maximum</t>
  </si>
  <si>
    <t xml:space="preserve">Sum</t>
  </si>
  <si>
    <t xml:space="preserve">Count</t>
  </si>
  <si>
    <t xml:space="preserve">Advanced descriptive analytics</t>
  </si>
  <si>
    <t xml:space="preserve">Measure</t>
  </si>
  <si>
    <t xml:space="preserve">1st Quartile (Q1)</t>
  </si>
  <si>
    <t xml:space="preserve">3rd Quartile (Q3)</t>
  </si>
  <si>
    <t xml:space="preserve">Interquartile Range (IQR)</t>
  </si>
  <si>
    <t xml:space="preserve">90th Percentile</t>
  </si>
  <si>
    <t xml:space="preserve">Coefficient of Variation</t>
  </si>
  <si>
    <t xml:space="preserve">Lower Outlier Fence</t>
  </si>
  <si>
    <t xml:space="preserve">Upper Outlier Fence</t>
  </si>
  <si>
    <t xml:space="preserve">Outliers (count)</t>
  </si>
  <si>
    <t xml:space="preserve">95% Confidence Interval (±)</t>
  </si>
  <si>
    <t xml:space="preserve">Correlation matrix</t>
  </si>
  <si>
    <t xml:space="preserve">Histogram data – Sales distribution</t>
  </si>
  <si>
    <t xml:space="preserve">First bin start (input)</t>
  </si>
  <si>
    <t xml:space="preserve">Bin width (input)</t>
  </si>
  <si>
    <t xml:space="preserve">Bin (Sales)</t>
  </si>
  <si>
    <t xml:space="preserve">From (&gt;)</t>
  </si>
  <si>
    <t xml:space="preserve">To (≤)</t>
  </si>
  <si>
    <t xml:space="preserve">Frequency</t>
  </si>
  <si>
    <t xml:space="preserve">Monthly Sales Trend with up / down arrows (custom number format + icon set)</t>
  </si>
  <si>
    <t xml:space="preserve">Apr-24 starts on 10-Apr-2024 and Apr-25 ends on 07-Apr-2025, so both are partial months.</t>
  </si>
  <si>
    <t xml:space="preserve">Month</t>
  </si>
  <si>
    <t xml:space="preserve">Growth % (MoM)</t>
  </si>
  <si>
    <t xml:space="preserve">Arrow</t>
  </si>
  <si>
    <t xml:space="preserve">Pivot Summary – PivotTable-style summaries built with SUMIFS</t>
  </si>
  <si>
    <t xml:space="preserve">Total Sales by Region × Product Category</t>
  </si>
  <si>
    <t xml:space="preserve">Grand Total</t>
  </si>
  <si>
    <t xml:space="preserve">Total Profit by Region × Product Category</t>
  </si>
  <si>
    <t xml:space="preserve">Sales by Region</t>
  </si>
  <si>
    <t xml:space="preserve">Share %</t>
  </si>
  <si>
    <t xml:space="preserve">Sales by Product Category</t>
  </si>
  <si>
    <t xml:space="preserve">Category</t>
  </si>
  <si>
    <t xml:space="preserve">Create the real PivotTable with a dashboard (do by hand in Excel)</t>
  </si>
  <si>
    <t xml:space="preserve">1. Click any cell in Dataset &gt; Insert &gt; PivotTable &gt; New Worksheet (name it 'Pivot').</t>
  </si>
  <si>
    <t xml:space="preserve">2. Rows = Region, Columns = Product_Category, Values = Sum of Sales.</t>
  </si>
  <si>
    <t xml:space="preserve">3. Insert &gt; PivotChart: Clustered Bar (region), Line (Order_Date grouped by Months), Pie (Product_Category).</t>
  </si>
  <si>
    <t xml:space="preserve">4. PivotTable Analyze &gt; Insert Slicer (Region, Product_Category) and Insert Timeline (Order_Date); connect them to all pivots.</t>
  </si>
  <si>
    <t xml:space="preserve">5. Arrange the pivot charts and slicers on a new sheet to form the pivot dashboard.</t>
  </si>
  <si>
    <t xml:space="preserve">Charts – bar, line, pie, histogram, what-if and regression</t>
  </si>
  <si>
    <t xml:space="preserve">PR. 2 ANALYZER – SALES DASHBOARD</t>
  </si>
  <si>
    <t xml:space="preserve">TOTAL SALES</t>
  </si>
  <si>
    <t xml:space="preserve">TOTAL PROFIT</t>
  </si>
  <si>
    <t xml:space="preserve">PROFIT MARGIN</t>
  </si>
  <si>
    <t xml:space="preserve">TOTAL ORDERS</t>
  </si>
  <si>
    <t xml:space="preserve">TOP CUSTOMER</t>
  </si>
  <si>
    <t xml:space="preserve">BEST REGION</t>
  </si>
  <si>
    <t xml:space="preserve">BEST CATEGORY</t>
  </si>
  <si>
    <t xml:space="preserve">LAST FULL MONTH GROWTH</t>
  </si>
  <si>
    <t xml:space="preserve">Key insights (update automatically)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</si>
</sst>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dd\-mmm\-yyyy"/>
    <numFmt numFmtId="166" formatCode="#,##0"/>
    <numFmt numFmtId="167" formatCode="yyyy\-mm\-dd"/>
    <numFmt numFmtId="168" formatCode="yyyy\-mm\-dd\ hh:mm:ss"/>
    <numFmt numFmtId="169" formatCode="mmm\-yy"/>
    <numFmt numFmtId="170" formatCode="#,##0.00"/>
    <numFmt numFmtId="171" formatCode="0.0%"/>
    <numFmt numFmtId="172" formatCode="0%"/>
    <numFmt numFmtId="173" formatCode="0.00%"/>
    <numFmt numFmtId="174" formatCode="0.0000"/>
    <numFmt numFmtId="175" formatCode="0"/>
    <numFmt numFmtId="176" formatCode="0.0000E+00"/>
    <numFmt numFmtId="177" formatCode="0.00"/>
    <numFmt numFmtId="178" formatCode="&quot;▲ &quot;0.0%;&quot;▼ &quot;0.0%;0.0%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4286B"/>
      <name val="Arial"/>
      <family val="0"/>
      <charset val="1"/>
    </font>
    <font>
      <b val="true"/>
      <sz val="48"/>
      <color rgb="FFFFFFFF"/>
      <name val="Arial"/>
      <family val="0"/>
      <charset val="1"/>
    </font>
    <font>
      <b val="true"/>
      <sz val="48"/>
      <color rgb="FF14286B"/>
      <name val="Arial"/>
      <family val="0"/>
      <charset val="1"/>
    </font>
    <font>
      <b val="true"/>
      <sz val="48"/>
      <color rgb="FF2F5FC4"/>
      <name val="Arial"/>
      <family val="0"/>
      <charset val="1"/>
    </font>
    <font>
      <b val="true"/>
      <sz val="12"/>
      <color rgb="FF14286B"/>
      <name val="Arial"/>
      <family val="0"/>
      <charset val="1"/>
    </font>
    <font>
      <b val="true"/>
      <sz val="18"/>
      <color rgb="FF14286B"/>
      <name val="Arial"/>
      <family val="0"/>
      <charset val="1"/>
    </font>
    <font>
      <b val="true"/>
      <sz val="13"/>
      <color rgb="FF14286B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i val="true"/>
      <sz val="18"/>
      <color rgb="FF14286B"/>
      <name val="Georg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3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b val="true"/>
      <sz val="16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Calibri"/>
      <family val="2"/>
    </font>
    <font>
      <b val="true"/>
      <sz val="18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C9D8F5"/>
        <bgColor rgb="FFD9E2F3"/>
      </patternFill>
    </fill>
    <fill>
      <patternFill patternType="solid">
        <fgColor rgb="FFEAF0FB"/>
        <bgColor rgb="FFD9E2F3"/>
      </patternFill>
    </fill>
    <fill>
      <patternFill patternType="solid">
        <fgColor rgb="FF107C41"/>
        <bgColor rgb="FF00803C"/>
      </patternFill>
    </fill>
    <fill>
      <patternFill patternType="solid">
        <fgColor rgb="FF2F5FC4"/>
        <bgColor rgb="FF2F5597"/>
      </patternFill>
    </fill>
    <fill>
      <patternFill patternType="solid">
        <fgColor rgb="FF14286B"/>
        <bgColor rgb="FF1F3864"/>
      </patternFill>
    </fill>
    <fill>
      <patternFill patternType="solid">
        <fgColor rgb="FFD9E2F3"/>
        <bgColor rgb="FFD9D9D9"/>
      </patternFill>
    </fill>
    <fill>
      <patternFill patternType="solid">
        <fgColor rgb="FF1F3864"/>
        <bgColor rgb="FF14286B"/>
      </patternFill>
    </fill>
    <fill>
      <patternFill patternType="solid">
        <fgColor rgb="FFFFF2CC"/>
        <bgColor rgb="FFFFE699"/>
      </patternFill>
    </fill>
    <fill>
      <patternFill patternType="solid">
        <fgColor rgb="FF2F5597"/>
        <bgColor rgb="FF2F5FC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b val="1"/>
      </font>
      <fill>
        <patternFill>
          <bgColor rgb="FFFFE699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00803C"/>
      </font>
    </dxf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  <color rgb="FFC00000"/>
        <sz val="16"/>
      </font>
    </dxf>
    <dxf>
      <font>
        <name val="Arial"/>
        <charset val="1"/>
        <family val="0"/>
        <b val="1"/>
        <color rgb="FF006100"/>
        <sz val="16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3C"/>
      <rgbColor rgb="FF000080"/>
      <rgbColor rgb="FF808000"/>
      <rgbColor rgb="FF800080"/>
      <rgbColor rgb="FF107C41"/>
      <rgbColor rgb="FFBFBFBF"/>
      <rgbColor rgb="FF878787"/>
      <rgbColor rgb="FF9999FF"/>
      <rgbColor rgb="FFC0504D"/>
      <rgbColor rgb="FFFFF2CC"/>
      <rgbColor rgb="FFEAF0FB"/>
      <rgbColor rgb="FF660066"/>
      <rgbColor rgb="FFFF8080"/>
      <rgbColor rgb="FF0563C1"/>
      <rgbColor rgb="FFC9D8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FE699"/>
      <rgbColor rgb="FF99CCFF"/>
      <rgbColor rgb="FFFF99CC"/>
      <rgbColor rgb="FFCC99FF"/>
      <rgbColor rgb="FFD9D9D9"/>
      <rgbColor rgb="FF2F5FC4"/>
      <rgbColor rgb="FF4BACC6"/>
      <rgbColor rgb="FF9BBB59"/>
      <rgbColor rgb="FFFFCC00"/>
      <rgbColor rgb="FFFF9900"/>
      <rgbColor rgb="FFFF6600"/>
      <rgbColor rgb="FF8064A2"/>
      <rgbColor rgb="FF4F81BD"/>
      <rgbColor rgb="FF14286B"/>
      <rgbColor rgb="FF4A7EBB"/>
      <rgbColor rgb="FF006100"/>
      <rgbColor rgb="FF333300"/>
      <rgbColor rgb="FF993300"/>
      <rgbColor rgb="FF993366"/>
      <rgbColor rgb="FF2F5597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Summary'!$A$23:$A$27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Summary'!$B$23:$B$27</c:f>
              <c:numCache>
                <c:formatCode>#,##0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</c:ser>
        <c:gapWidth val="150"/>
        <c:overlap val="0"/>
        <c:axId val="85450986"/>
        <c:axId val="60473788"/>
      </c:barChart>
      <c:catAx>
        <c:axId val="854509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473788"/>
        <c:crosses val="autoZero"/>
        <c:auto val="1"/>
        <c:lblAlgn val="ctr"/>
        <c:lblOffset val="100"/>
        <c:noMultiLvlLbl val="0"/>
      </c:catAx>
      <c:valAx>
        <c:axId val="604737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4509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Trend'!B3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Trend'!$A$4:$A$16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'Monthly Trend'!$B$4:$B$16</c:f>
              <c:numCache>
                <c:formatCode>#,##0.00</c:formatCode>
                <c:ptCount val="13"/>
                <c:pt idx="0">
                  <c:v>19029.96</c:v>
                </c:pt>
                <c:pt idx="1">
                  <c:v>18507.34</c:v>
                </c:pt>
                <c:pt idx="2">
                  <c:v>20187.51</c:v>
                </c:pt>
                <c:pt idx="3">
                  <c:v>11609.04</c:v>
                </c:pt>
                <c:pt idx="4">
                  <c:v>10091.7</c:v>
                </c:pt>
                <c:pt idx="5">
                  <c:v>20533.5</c:v>
                </c:pt>
                <c:pt idx="6">
                  <c:v>14215.24</c:v>
                </c:pt>
                <c:pt idx="7">
                  <c:v>20135.03</c:v>
                </c:pt>
                <c:pt idx="8">
                  <c:v>11120.04</c:v>
                </c:pt>
                <c:pt idx="9">
                  <c:v>14914.65</c:v>
                </c:pt>
                <c:pt idx="10">
                  <c:v>14006.36</c:v>
                </c:pt>
                <c:pt idx="11">
                  <c:v>17655.22</c:v>
                </c:pt>
                <c:pt idx="12">
                  <c:v>3212.17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5528275"/>
        <c:axId val="28954306"/>
      </c:lineChart>
      <c:catAx>
        <c:axId val="35528275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954306"/>
        <c:crosses val="autoZero"/>
        <c:auto val="1"/>
        <c:lblAlgn val="ctr"/>
        <c:lblOffset val="100"/>
        <c:noMultiLvlLbl val="0"/>
      </c:catAx>
      <c:valAx>
        <c:axId val="289543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5282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'Pivot Summary'!$A$32:$A$36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'Pivot Summary'!$B$32:$B$36</c:f>
              <c:numCache>
                <c:formatCode>#,##0</c:formatCode>
                <c:ptCount val="5"/>
                <c:pt idx="0">
                  <c:v>47002.46</c:v>
                </c:pt>
                <c:pt idx="1">
                  <c:v>41927.59</c:v>
                </c:pt>
                <c:pt idx="2">
                  <c:v>41044</c:v>
                </c:pt>
                <c:pt idx="3">
                  <c:v>36612.89</c:v>
                </c:pt>
                <c:pt idx="4">
                  <c:v>28630.82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 (Bar)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Summary'!$A$23:$A$27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Summary'!$B$23:$B$27</c:f>
              <c:numCache>
                <c:formatCode>#,##0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</c:ser>
        <c:gapWidth val="150"/>
        <c:overlap val="0"/>
        <c:axId val="63445523"/>
        <c:axId val="39571533"/>
      </c:barChart>
      <c:catAx>
        <c:axId val="634455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571533"/>
        <c:crosses val="autoZero"/>
        <c:auto val="1"/>
        <c:lblAlgn val="ctr"/>
        <c:lblOffset val="100"/>
        <c:noMultiLvlLbl val="0"/>
      </c:catAx>
      <c:valAx>
        <c:axId val="395715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4455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Trend'!B3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Trend'!$A$4:$A$16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'Monthly Trend'!$B$4:$B$16</c:f>
              <c:numCache>
                <c:formatCode>#,##0.00</c:formatCode>
                <c:ptCount val="13"/>
                <c:pt idx="0">
                  <c:v>19029.96</c:v>
                </c:pt>
                <c:pt idx="1">
                  <c:v>18507.34</c:v>
                </c:pt>
                <c:pt idx="2">
                  <c:v>20187.51</c:v>
                </c:pt>
                <c:pt idx="3">
                  <c:v>11609.04</c:v>
                </c:pt>
                <c:pt idx="4">
                  <c:v>10091.7</c:v>
                </c:pt>
                <c:pt idx="5">
                  <c:v>20533.5</c:v>
                </c:pt>
                <c:pt idx="6">
                  <c:v>14215.24</c:v>
                </c:pt>
                <c:pt idx="7">
                  <c:v>20135.03</c:v>
                </c:pt>
                <c:pt idx="8">
                  <c:v>11120.04</c:v>
                </c:pt>
                <c:pt idx="9">
                  <c:v>14914.65</c:v>
                </c:pt>
                <c:pt idx="10">
                  <c:v>14006.36</c:v>
                </c:pt>
                <c:pt idx="11">
                  <c:v>17655.22</c:v>
                </c:pt>
                <c:pt idx="12">
                  <c:v>3212.17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7561640"/>
        <c:axId val="92909948"/>
      </c:lineChart>
      <c:catAx>
        <c:axId val="6756164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909948"/>
        <c:crosses val="autoZero"/>
        <c:auto val="1"/>
        <c:lblAlgn val="ctr"/>
        <c:lblOffset val="100"/>
        <c:noMultiLvlLbl val="0"/>
      </c:catAx>
      <c:valAx>
        <c:axId val="929099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5616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Product Category (Pie)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'Pivot Summary'!$A$32:$A$36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'Pivot Summary'!$B$32:$B$36</c:f>
              <c:numCache>
                <c:formatCode>#,##0</c:formatCode>
                <c:ptCount val="5"/>
                <c:pt idx="0">
                  <c:v>47002.46</c:v>
                </c:pt>
                <c:pt idx="1">
                  <c:v>41927.59</c:v>
                </c:pt>
                <c:pt idx="2">
                  <c:v>41044</c:v>
                </c:pt>
                <c:pt idx="3">
                  <c:v>36612.89</c:v>
                </c:pt>
                <c:pt idx="4">
                  <c:v>28630.82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Customers by Total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'Customer Analysis'!$A$4:$A$13</c:f>
              <c:strCache>
                <c:ptCount val="10"/>
                <c:pt idx="0">
                  <c:v>CUST015</c:v>
                </c:pt>
                <c:pt idx="1">
                  <c:v>CUST028</c:v>
                </c:pt>
                <c:pt idx="2">
                  <c:v>CUST007</c:v>
                </c:pt>
                <c:pt idx="3">
                  <c:v>CUST008</c:v>
                </c:pt>
                <c:pt idx="4">
                  <c:v>CUST026</c:v>
                </c:pt>
                <c:pt idx="5">
                  <c:v>CUST021</c:v>
                </c:pt>
                <c:pt idx="6">
                  <c:v>CUST003</c:v>
                </c:pt>
                <c:pt idx="7">
                  <c:v>CUST012</c:v>
                </c:pt>
                <c:pt idx="8">
                  <c:v>CUST030</c:v>
                </c:pt>
                <c:pt idx="9">
                  <c:v>CUST004</c:v>
                </c:pt>
              </c:strCache>
            </c:strRef>
          </c:cat>
          <c:val>
            <c:numRef>
              <c:f>'Customer Analysis'!$C$4:$C$13</c:f>
              <c:numCache>
                <c:formatCode>#,##0.00</c:formatCode>
                <c:ptCount val="10"/>
                <c:pt idx="0">
                  <c:v>11611.06</c:v>
                </c:pt>
                <c:pt idx="1">
                  <c:v>10293.87</c:v>
                </c:pt>
                <c:pt idx="2">
                  <c:v>9941.88</c:v>
                </c:pt>
                <c:pt idx="3">
                  <c:v>9760.8</c:v>
                </c:pt>
                <c:pt idx="4">
                  <c:v>9371.81</c:v>
                </c:pt>
                <c:pt idx="5">
                  <c:v>8740.18</c:v>
                </c:pt>
                <c:pt idx="6">
                  <c:v>8490.18</c:v>
                </c:pt>
                <c:pt idx="7">
                  <c:v>8339</c:v>
                </c:pt>
                <c:pt idx="8">
                  <c:v>7928.71</c:v>
                </c:pt>
                <c:pt idx="9">
                  <c:v>7813.59</c:v>
                </c:pt>
              </c:numCache>
            </c:numRef>
          </c:val>
        </c:ser>
        <c:gapWidth val="150"/>
        <c:overlap val="0"/>
        <c:axId val="64009305"/>
        <c:axId val="4358063"/>
      </c:barChart>
      <c:catAx>
        <c:axId val="640093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58063"/>
        <c:crosses val="autoZero"/>
        <c:auto val="1"/>
        <c:lblAlgn val="ctr"/>
        <c:lblOffset val="100"/>
        <c:noMultiLvlLbl val="0"/>
      </c:catAx>
      <c:valAx>
        <c:axId val="43580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0093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Distribution – Histogram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'Descriptive Stats'!$A$44:$A$52</c:f>
              <c:strCache>
                <c:ptCount val="9"/>
                <c:pt idx="0">
                  <c:v>250 - 450</c:v>
                </c:pt>
                <c:pt idx="1">
                  <c:v>450 - 650</c:v>
                </c:pt>
                <c:pt idx="2">
                  <c:v>650 - 850</c:v>
                </c:pt>
                <c:pt idx="3">
                  <c:v>850 - 1050</c:v>
                </c:pt>
                <c:pt idx="4">
                  <c:v>1050 - 1250</c:v>
                </c:pt>
                <c:pt idx="5">
                  <c:v>1250 - 1450</c:v>
                </c:pt>
                <c:pt idx="6">
                  <c:v>1450 - 1650</c:v>
                </c:pt>
                <c:pt idx="7">
                  <c:v>1650 - 1850</c:v>
                </c:pt>
                <c:pt idx="8">
                  <c:v>1850 - 2050</c:v>
                </c:pt>
              </c:strCache>
            </c:strRef>
          </c:cat>
          <c:val>
            <c:numRef>
              <c:f>'Descriptive Stats'!$D$44:$D$52</c:f>
              <c:numCache>
                <c:formatCode>General</c:formatCode>
                <c:ptCount val="9"/>
                <c:pt idx="0">
                  <c:v>7</c:v>
                </c:pt>
                <c:pt idx="1">
                  <c:v>19</c:v>
                </c:pt>
                <c:pt idx="2">
                  <c:v>44</c:v>
                </c:pt>
                <c:pt idx="3">
                  <c:v>51</c:v>
                </c:pt>
                <c:pt idx="4">
                  <c:v>45</c:v>
                </c:pt>
                <c:pt idx="5">
                  <c:v>20</c:v>
                </c:pt>
                <c:pt idx="6">
                  <c:v>12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</c:ser>
        <c:gapWidth val="0"/>
        <c:overlap val="0"/>
        <c:axId val="42580826"/>
        <c:axId val="8331452"/>
      </c:barChart>
      <c:catAx>
        <c:axId val="425808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31452"/>
        <c:crosses val="autoZero"/>
        <c:auto val="1"/>
        <c:lblAlgn val="ctr"/>
        <c:lblOffset val="100"/>
        <c:noMultiLvlLbl val="0"/>
      </c:catAx>
      <c:valAx>
        <c:axId val="83314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5808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Discount % vs Total Profit (What-If)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'What-If Analysis'!C17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'What-If Analysis'!$A$18:$A$24</c:f>
              <c:strCache>
                <c:ptCount val="7"/>
                <c:pt idx="0">
                  <c:v>0%</c:v>
                </c:pt>
                <c:pt idx="1">
                  <c:v>5%</c:v>
                </c:pt>
                <c:pt idx="2">
                  <c:v>10%</c:v>
                </c:pt>
                <c:pt idx="3">
                  <c:v>15%</c:v>
                </c:pt>
                <c:pt idx="4">
                  <c:v>20%</c:v>
                </c:pt>
                <c:pt idx="5">
                  <c:v>25%</c:v>
                </c:pt>
                <c:pt idx="6">
                  <c:v>30%</c:v>
                </c:pt>
              </c:strCache>
            </c:strRef>
          </c:cat>
          <c:val>
            <c:numRef>
              <c:f>'What-If Analysis'!$C$18:$C$24</c:f>
              <c:numCache>
                <c:formatCode>#,##0.00</c:formatCode>
                <c:ptCount val="7"/>
                <c:pt idx="0">
                  <c:v>91096.4439791882</c:v>
                </c:pt>
                <c:pt idx="1">
                  <c:v>80195.0842802288</c:v>
                </c:pt>
                <c:pt idx="2">
                  <c:v>69293.7245812694</c:v>
                </c:pt>
                <c:pt idx="3">
                  <c:v>58392.36488231</c:v>
                </c:pt>
                <c:pt idx="4">
                  <c:v>47491.0051833506</c:v>
                </c:pt>
                <c:pt idx="5">
                  <c:v>36589.6454843911</c:v>
                </c:pt>
                <c:pt idx="6">
                  <c:v>25688.2857854317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229979"/>
        <c:axId val="28231055"/>
      </c:lineChart>
      <c:catAx>
        <c:axId val="5229979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231055"/>
        <c:crosses val="autoZero"/>
        <c:auto val="1"/>
        <c:lblAlgn val="ctr"/>
        <c:lblOffset val="100"/>
        <c:noMultiLvlLbl val="0"/>
      </c:catAx>
      <c:valAx>
        <c:axId val="282310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299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vs Sales (with trendline)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"Orders"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Dataset!$E$2:$E$201</c:f>
              <c:numCache>
                <c:formatCode>General</c:formatCode>
                <c:ptCount val="200"/>
                <c:pt idx="0">
                  <c:v>1036.09</c:v>
                </c:pt>
                <c:pt idx="1">
                  <c:v>1101.28</c:v>
                </c:pt>
                <c:pt idx="2">
                  <c:v>713.34</c:v>
                </c:pt>
                <c:pt idx="3">
                  <c:v>760.93</c:v>
                </c:pt>
                <c:pt idx="4">
                  <c:v>847</c:v>
                </c:pt>
                <c:pt idx="5">
                  <c:v>965.64</c:v>
                </c:pt>
                <c:pt idx="6">
                  <c:v>1317.53</c:v>
                </c:pt>
                <c:pt idx="7">
                  <c:v>1074.47</c:v>
                </c:pt>
                <c:pt idx="8">
                  <c:v>501.54</c:v>
                </c:pt>
                <c:pt idx="9">
                  <c:v>737.31</c:v>
                </c:pt>
                <c:pt idx="10">
                  <c:v>1572.82</c:v>
                </c:pt>
                <c:pt idx="11">
                  <c:v>1343.13</c:v>
                </c:pt>
                <c:pt idx="12">
                  <c:v>1191.58</c:v>
                </c:pt>
                <c:pt idx="13">
                  <c:v>822.28</c:v>
                </c:pt>
                <c:pt idx="14">
                  <c:v>521.67</c:v>
                </c:pt>
                <c:pt idx="15">
                  <c:v>1502.93</c:v>
                </c:pt>
                <c:pt idx="16">
                  <c:v>877.58</c:v>
                </c:pt>
                <c:pt idx="17">
                  <c:v>636.7</c:v>
                </c:pt>
                <c:pt idx="18">
                  <c:v>1506.14</c:v>
                </c:pt>
                <c:pt idx="19">
                  <c:v>645.02</c:v>
                </c:pt>
                <c:pt idx="20">
                  <c:v>953.3</c:v>
                </c:pt>
                <c:pt idx="21">
                  <c:v>388.56</c:v>
                </c:pt>
                <c:pt idx="22">
                  <c:v>743.17</c:v>
                </c:pt>
                <c:pt idx="23">
                  <c:v>706.37</c:v>
                </c:pt>
                <c:pt idx="24">
                  <c:v>925.31</c:v>
                </c:pt>
                <c:pt idx="25">
                  <c:v>1173.12</c:v>
                </c:pt>
                <c:pt idx="26">
                  <c:v>675.54</c:v>
                </c:pt>
                <c:pt idx="27">
                  <c:v>939.09</c:v>
                </c:pt>
                <c:pt idx="28">
                  <c:v>983.34</c:v>
                </c:pt>
                <c:pt idx="29">
                  <c:v>801.21</c:v>
                </c:pt>
                <c:pt idx="30">
                  <c:v>1450.71</c:v>
                </c:pt>
                <c:pt idx="31">
                  <c:v>1023.21</c:v>
                </c:pt>
                <c:pt idx="32">
                  <c:v>853.72</c:v>
                </c:pt>
                <c:pt idx="33">
                  <c:v>967.89</c:v>
                </c:pt>
                <c:pt idx="34">
                  <c:v>1200.9</c:v>
                </c:pt>
                <c:pt idx="35">
                  <c:v>472.38</c:v>
                </c:pt>
                <c:pt idx="36">
                  <c:v>840.92</c:v>
                </c:pt>
                <c:pt idx="37">
                  <c:v>1410.06</c:v>
                </c:pt>
                <c:pt idx="38">
                  <c:v>773.09</c:v>
                </c:pt>
                <c:pt idx="39">
                  <c:v>580.43</c:v>
                </c:pt>
                <c:pt idx="40">
                  <c:v>1151.21</c:v>
                </c:pt>
                <c:pt idx="41">
                  <c:v>1025.98</c:v>
                </c:pt>
                <c:pt idx="42">
                  <c:v>556.42</c:v>
                </c:pt>
                <c:pt idx="43">
                  <c:v>840.85</c:v>
                </c:pt>
                <c:pt idx="44">
                  <c:v>1227.25</c:v>
                </c:pt>
                <c:pt idx="45">
                  <c:v>856.7</c:v>
                </c:pt>
                <c:pt idx="46">
                  <c:v>1225.42</c:v>
                </c:pt>
                <c:pt idx="47">
                  <c:v>1001.57</c:v>
                </c:pt>
                <c:pt idx="48">
                  <c:v>1186.85</c:v>
                </c:pt>
                <c:pt idx="49">
                  <c:v>775.45</c:v>
                </c:pt>
                <c:pt idx="50">
                  <c:v>1021.47</c:v>
                </c:pt>
                <c:pt idx="51">
                  <c:v>1226.62</c:v>
                </c:pt>
                <c:pt idx="52">
                  <c:v>1086.93</c:v>
                </c:pt>
                <c:pt idx="53">
                  <c:v>942.9</c:v>
                </c:pt>
                <c:pt idx="54">
                  <c:v>818.8</c:v>
                </c:pt>
                <c:pt idx="55">
                  <c:v>919.04</c:v>
                </c:pt>
                <c:pt idx="56">
                  <c:v>973.26</c:v>
                </c:pt>
                <c:pt idx="57">
                  <c:v>741.61</c:v>
                </c:pt>
                <c:pt idx="58">
                  <c:v>1248.82</c:v>
                </c:pt>
                <c:pt idx="59">
                  <c:v>1360.36</c:v>
                </c:pt>
                <c:pt idx="60">
                  <c:v>1383.3</c:v>
                </c:pt>
                <c:pt idx="61">
                  <c:v>488.99</c:v>
                </c:pt>
                <c:pt idx="62">
                  <c:v>933.71</c:v>
                </c:pt>
                <c:pt idx="63">
                  <c:v>1005.53</c:v>
                </c:pt>
                <c:pt idx="64">
                  <c:v>1100.1</c:v>
                </c:pt>
                <c:pt idx="65">
                  <c:v>1034.7</c:v>
                </c:pt>
                <c:pt idx="66">
                  <c:v>876.44</c:v>
                </c:pt>
                <c:pt idx="67">
                  <c:v>1371.34</c:v>
                </c:pt>
                <c:pt idx="68">
                  <c:v>1020.26</c:v>
                </c:pt>
                <c:pt idx="69">
                  <c:v>804.81</c:v>
                </c:pt>
                <c:pt idx="70">
                  <c:v>608.66</c:v>
                </c:pt>
                <c:pt idx="71">
                  <c:v>981.2</c:v>
                </c:pt>
                <c:pt idx="72">
                  <c:v>539.77</c:v>
                </c:pt>
                <c:pt idx="73">
                  <c:v>804.45</c:v>
                </c:pt>
                <c:pt idx="74">
                  <c:v>1526.6</c:v>
                </c:pt>
                <c:pt idx="75">
                  <c:v>1215.26</c:v>
                </c:pt>
                <c:pt idx="76">
                  <c:v>1261.34</c:v>
                </c:pt>
                <c:pt idx="77">
                  <c:v>518.07</c:v>
                </c:pt>
                <c:pt idx="78">
                  <c:v>1111.34</c:v>
                </c:pt>
                <c:pt idx="79">
                  <c:v>1291.47</c:v>
                </c:pt>
                <c:pt idx="80">
                  <c:v>679.71</c:v>
                </c:pt>
                <c:pt idx="81">
                  <c:v>1143.69</c:v>
                </c:pt>
                <c:pt idx="82">
                  <c:v>790.08</c:v>
                </c:pt>
                <c:pt idx="83">
                  <c:v>1070.68</c:v>
                </c:pt>
                <c:pt idx="84">
                  <c:v>1168.89</c:v>
                </c:pt>
                <c:pt idx="85">
                  <c:v>1335.87</c:v>
                </c:pt>
                <c:pt idx="86">
                  <c:v>873.7</c:v>
                </c:pt>
                <c:pt idx="87">
                  <c:v>1443.98</c:v>
                </c:pt>
                <c:pt idx="88">
                  <c:v>1154.33</c:v>
                </c:pt>
                <c:pt idx="89">
                  <c:v>1264.49</c:v>
                </c:pt>
                <c:pt idx="90">
                  <c:v>1101.55</c:v>
                </c:pt>
                <c:pt idx="91">
                  <c:v>727.73</c:v>
                </c:pt>
                <c:pt idx="92">
                  <c:v>875.41</c:v>
                </c:pt>
                <c:pt idx="93">
                  <c:v>1158.94</c:v>
                </c:pt>
                <c:pt idx="94">
                  <c:v>966.3</c:v>
                </c:pt>
                <c:pt idx="95">
                  <c:v>917.48</c:v>
                </c:pt>
                <c:pt idx="96">
                  <c:v>1172.97</c:v>
                </c:pt>
                <c:pt idx="97">
                  <c:v>1205.82</c:v>
                </c:pt>
                <c:pt idx="98">
                  <c:v>826.93</c:v>
                </c:pt>
                <c:pt idx="99">
                  <c:v>902.19</c:v>
                </c:pt>
                <c:pt idx="100">
                  <c:v>585.97</c:v>
                </c:pt>
                <c:pt idx="101">
                  <c:v>990.19</c:v>
                </c:pt>
                <c:pt idx="102">
                  <c:v>1014.09</c:v>
                </c:pt>
                <c:pt idx="103">
                  <c:v>925.29</c:v>
                </c:pt>
                <c:pt idx="104">
                  <c:v>1286.54</c:v>
                </c:pt>
                <c:pt idx="105">
                  <c:v>961.62</c:v>
                </c:pt>
                <c:pt idx="106">
                  <c:v>1081.14</c:v>
                </c:pt>
                <c:pt idx="107">
                  <c:v>1923.66</c:v>
                </c:pt>
                <c:pt idx="108">
                  <c:v>728.71</c:v>
                </c:pt>
                <c:pt idx="109">
                  <c:v>1301.89</c:v>
                </c:pt>
                <c:pt idx="110">
                  <c:v>980.18</c:v>
                </c:pt>
                <c:pt idx="111">
                  <c:v>697.57</c:v>
                </c:pt>
                <c:pt idx="112">
                  <c:v>1193.61</c:v>
                </c:pt>
                <c:pt idx="113">
                  <c:v>771.02</c:v>
                </c:pt>
                <c:pt idx="114">
                  <c:v>661.09</c:v>
                </c:pt>
                <c:pt idx="115">
                  <c:v>688.83</c:v>
                </c:pt>
                <c:pt idx="116">
                  <c:v>1249.1</c:v>
                </c:pt>
                <c:pt idx="117">
                  <c:v>1014.22</c:v>
                </c:pt>
                <c:pt idx="118">
                  <c:v>1010.58</c:v>
                </c:pt>
                <c:pt idx="119">
                  <c:v>957.29</c:v>
                </c:pt>
                <c:pt idx="120">
                  <c:v>1077.92</c:v>
                </c:pt>
                <c:pt idx="121">
                  <c:v>1163.01</c:v>
                </c:pt>
                <c:pt idx="122">
                  <c:v>1014.56</c:v>
                </c:pt>
                <c:pt idx="123">
                  <c:v>718.04</c:v>
                </c:pt>
                <c:pt idx="124">
                  <c:v>1277.85</c:v>
                </c:pt>
                <c:pt idx="125">
                  <c:v>706.73</c:v>
                </c:pt>
                <c:pt idx="126">
                  <c:v>1410.59</c:v>
                </c:pt>
                <c:pt idx="127">
                  <c:v>1350.33</c:v>
                </c:pt>
                <c:pt idx="128">
                  <c:v>919.18</c:v>
                </c:pt>
                <c:pt idx="129">
                  <c:v>258.51</c:v>
                </c:pt>
                <c:pt idx="130">
                  <c:v>1213.48</c:v>
                </c:pt>
                <c:pt idx="131">
                  <c:v>1150.28</c:v>
                </c:pt>
                <c:pt idx="132">
                  <c:v>853.86</c:v>
                </c:pt>
                <c:pt idx="133">
                  <c:v>1061.04</c:v>
                </c:pt>
                <c:pt idx="134">
                  <c:v>894.55</c:v>
                </c:pt>
                <c:pt idx="135">
                  <c:v>833.91</c:v>
                </c:pt>
                <c:pt idx="136">
                  <c:v>820.19</c:v>
                </c:pt>
                <c:pt idx="137">
                  <c:v>511.74</c:v>
                </c:pt>
                <c:pt idx="138">
                  <c:v>806.03</c:v>
                </c:pt>
                <c:pt idx="139">
                  <c:v>1432.47</c:v>
                </c:pt>
                <c:pt idx="140">
                  <c:v>1488.58</c:v>
                </c:pt>
                <c:pt idx="141">
                  <c:v>1231.26</c:v>
                </c:pt>
                <c:pt idx="142">
                  <c:v>1161.67</c:v>
                </c:pt>
                <c:pt idx="143">
                  <c:v>388.23</c:v>
                </c:pt>
                <c:pt idx="144">
                  <c:v>1589.42</c:v>
                </c:pt>
                <c:pt idx="145">
                  <c:v>336.66</c:v>
                </c:pt>
                <c:pt idx="146">
                  <c:v>1353.79</c:v>
                </c:pt>
                <c:pt idx="147">
                  <c:v>662.61</c:v>
                </c:pt>
                <c:pt idx="148">
                  <c:v>309.42</c:v>
                </c:pt>
                <c:pt idx="149">
                  <c:v>884.63</c:v>
                </c:pt>
                <c:pt idx="150">
                  <c:v>745.05</c:v>
                </c:pt>
                <c:pt idx="151">
                  <c:v>870.23</c:v>
                </c:pt>
                <c:pt idx="152">
                  <c:v>862.19</c:v>
                </c:pt>
                <c:pt idx="153">
                  <c:v>1171.18</c:v>
                </c:pt>
                <c:pt idx="154">
                  <c:v>1054.56</c:v>
                </c:pt>
                <c:pt idx="155">
                  <c:v>1681.21</c:v>
                </c:pt>
                <c:pt idx="156">
                  <c:v>379.77</c:v>
                </c:pt>
                <c:pt idx="157">
                  <c:v>1076.33</c:v>
                </c:pt>
                <c:pt idx="158">
                  <c:v>1250.71</c:v>
                </c:pt>
                <c:pt idx="159">
                  <c:v>1118.34</c:v>
                </c:pt>
                <c:pt idx="160">
                  <c:v>1622.62</c:v>
                </c:pt>
                <c:pt idx="161">
                  <c:v>640.64</c:v>
                </c:pt>
                <c:pt idx="162">
                  <c:v>585.16</c:v>
                </c:pt>
                <c:pt idx="163">
                  <c:v>1109.98</c:v>
                </c:pt>
                <c:pt idx="164">
                  <c:v>1098.08</c:v>
                </c:pt>
                <c:pt idx="165">
                  <c:v>827.25</c:v>
                </c:pt>
                <c:pt idx="166">
                  <c:v>741.88</c:v>
                </c:pt>
                <c:pt idx="167">
                  <c:v>1311.26</c:v>
                </c:pt>
                <c:pt idx="168">
                  <c:v>573.32</c:v>
                </c:pt>
                <c:pt idx="169">
                  <c:v>1115.22</c:v>
                </c:pt>
                <c:pt idx="170">
                  <c:v>845.84</c:v>
                </c:pt>
                <c:pt idx="171">
                  <c:v>1029.8</c:v>
                </c:pt>
                <c:pt idx="172">
                  <c:v>1189.83</c:v>
                </c:pt>
                <c:pt idx="173">
                  <c:v>704.28</c:v>
                </c:pt>
                <c:pt idx="174">
                  <c:v>1618.22</c:v>
                </c:pt>
                <c:pt idx="175">
                  <c:v>1014.43</c:v>
                </c:pt>
                <c:pt idx="176">
                  <c:v>826.97</c:v>
                </c:pt>
                <c:pt idx="177">
                  <c:v>1022.23</c:v>
                </c:pt>
                <c:pt idx="178">
                  <c:v>1099.69</c:v>
                </c:pt>
                <c:pt idx="179">
                  <c:v>710.52</c:v>
                </c:pt>
                <c:pt idx="180">
                  <c:v>499.18</c:v>
                </c:pt>
                <c:pt idx="181">
                  <c:v>1064.19</c:v>
                </c:pt>
                <c:pt idx="182">
                  <c:v>438.76</c:v>
                </c:pt>
                <c:pt idx="183">
                  <c:v>864.98</c:v>
                </c:pt>
                <c:pt idx="184">
                  <c:v>984.93</c:v>
                </c:pt>
                <c:pt idx="185">
                  <c:v>1493.49</c:v>
                </c:pt>
                <c:pt idx="186">
                  <c:v>689.43</c:v>
                </c:pt>
                <c:pt idx="187">
                  <c:v>682.24</c:v>
                </c:pt>
                <c:pt idx="188">
                  <c:v>458.54</c:v>
                </c:pt>
                <c:pt idx="189">
                  <c:v>1184.25</c:v>
                </c:pt>
                <c:pt idx="190">
                  <c:v>762.14</c:v>
                </c:pt>
                <c:pt idx="191">
                  <c:v>750.71</c:v>
                </c:pt>
                <c:pt idx="192">
                  <c:v>1456.94</c:v>
                </c:pt>
                <c:pt idx="193">
                  <c:v>1093.38</c:v>
                </c:pt>
                <c:pt idx="194">
                  <c:v>934.27</c:v>
                </c:pt>
                <c:pt idx="195">
                  <c:v>1465.35</c:v>
                </c:pt>
                <c:pt idx="196">
                  <c:v>740.8</c:v>
                </c:pt>
                <c:pt idx="197">
                  <c:v>545.44</c:v>
                </c:pt>
                <c:pt idx="198">
                  <c:v>997.61</c:v>
                </c:pt>
                <c:pt idx="199">
                  <c:v>928.32</c:v>
                </c:pt>
              </c:numCache>
            </c:numRef>
          </c:xVal>
          <c:yVal>
            <c:numRef>
              <c:f>Dataset!$I$2:$I$201</c:f>
              <c:numCache>
                <c:formatCode>General</c:formatCode>
                <c:ptCount val="200"/>
                <c:pt idx="0">
                  <c:v>331.55</c:v>
                </c:pt>
                <c:pt idx="1">
                  <c:v>440.51</c:v>
                </c:pt>
                <c:pt idx="2">
                  <c:v>285.34</c:v>
                </c:pt>
                <c:pt idx="3">
                  <c:v>161.7</c:v>
                </c:pt>
                <c:pt idx="4">
                  <c:v>271.04</c:v>
                </c:pt>
                <c:pt idx="5">
                  <c:v>304.18</c:v>
                </c:pt>
                <c:pt idx="6">
                  <c:v>312.91</c:v>
                </c:pt>
                <c:pt idx="7">
                  <c:v>300.85</c:v>
                </c:pt>
                <c:pt idx="8">
                  <c:v>190.59</c:v>
                </c:pt>
                <c:pt idx="9">
                  <c:v>350.22</c:v>
                </c:pt>
                <c:pt idx="10">
                  <c:v>672.38</c:v>
                </c:pt>
                <c:pt idx="11">
                  <c:v>456.66</c:v>
                </c:pt>
                <c:pt idx="12">
                  <c:v>452.8</c:v>
                </c:pt>
                <c:pt idx="13">
                  <c:v>273.41</c:v>
                </c:pt>
                <c:pt idx="14">
                  <c:v>155.2</c:v>
                </c:pt>
                <c:pt idx="15">
                  <c:v>300.59</c:v>
                </c:pt>
                <c:pt idx="16">
                  <c:v>298.38</c:v>
                </c:pt>
                <c:pt idx="17">
                  <c:v>203.74</c:v>
                </c:pt>
                <c:pt idx="18">
                  <c:v>481.96</c:v>
                </c:pt>
                <c:pt idx="19">
                  <c:v>161.26</c:v>
                </c:pt>
                <c:pt idx="20">
                  <c:v>476.65</c:v>
                </c:pt>
                <c:pt idx="21">
                  <c:v>82.57</c:v>
                </c:pt>
                <c:pt idx="22">
                  <c:v>297.27</c:v>
                </c:pt>
                <c:pt idx="23">
                  <c:v>176.59</c:v>
                </c:pt>
                <c:pt idx="24">
                  <c:v>374.75</c:v>
                </c:pt>
                <c:pt idx="25">
                  <c:v>293.28</c:v>
                </c:pt>
                <c:pt idx="26">
                  <c:v>236.44</c:v>
                </c:pt>
                <c:pt idx="27">
                  <c:v>356.85</c:v>
                </c:pt>
                <c:pt idx="28">
                  <c:v>398.25</c:v>
                </c:pt>
                <c:pt idx="29">
                  <c:v>160.24</c:v>
                </c:pt>
                <c:pt idx="30">
                  <c:v>326.41</c:v>
                </c:pt>
                <c:pt idx="31">
                  <c:v>388.82</c:v>
                </c:pt>
                <c:pt idx="32">
                  <c:v>253.98</c:v>
                </c:pt>
                <c:pt idx="33">
                  <c:v>217.78</c:v>
                </c:pt>
                <c:pt idx="34">
                  <c:v>513.38</c:v>
                </c:pt>
                <c:pt idx="35">
                  <c:v>151.16</c:v>
                </c:pt>
                <c:pt idx="36">
                  <c:v>359.49</c:v>
                </c:pt>
                <c:pt idx="37">
                  <c:v>468.84</c:v>
                </c:pt>
                <c:pt idx="38">
                  <c:v>229.99</c:v>
                </c:pt>
                <c:pt idx="39">
                  <c:v>197.35</c:v>
                </c:pt>
                <c:pt idx="40">
                  <c:v>414.44</c:v>
                </c:pt>
                <c:pt idx="41">
                  <c:v>369.35</c:v>
                </c:pt>
                <c:pt idx="42">
                  <c:v>212.83</c:v>
                </c:pt>
                <c:pt idx="43">
                  <c:v>302.71</c:v>
                </c:pt>
                <c:pt idx="44">
                  <c:v>365.11</c:v>
                </c:pt>
                <c:pt idx="45">
                  <c:v>214.18</c:v>
                </c:pt>
                <c:pt idx="46">
                  <c:v>468.72</c:v>
                </c:pt>
                <c:pt idx="47">
                  <c:v>450.71</c:v>
                </c:pt>
                <c:pt idx="48">
                  <c:v>332.32</c:v>
                </c:pt>
                <c:pt idx="49">
                  <c:v>174.48</c:v>
                </c:pt>
                <c:pt idx="50">
                  <c:v>242.6</c:v>
                </c:pt>
                <c:pt idx="51">
                  <c:v>551.98</c:v>
                </c:pt>
                <c:pt idx="52">
                  <c:v>380.43</c:v>
                </c:pt>
                <c:pt idx="53">
                  <c:v>339.44</c:v>
                </c:pt>
                <c:pt idx="54">
                  <c:v>173.99</c:v>
                </c:pt>
                <c:pt idx="55">
                  <c:v>257.33</c:v>
                </c:pt>
                <c:pt idx="56">
                  <c:v>389.3</c:v>
                </c:pt>
                <c:pt idx="57">
                  <c:v>148.32</c:v>
                </c:pt>
                <c:pt idx="58">
                  <c:v>449.58</c:v>
                </c:pt>
                <c:pt idx="59">
                  <c:v>680.18</c:v>
                </c:pt>
                <c:pt idx="60">
                  <c:v>497.99</c:v>
                </c:pt>
                <c:pt idx="61">
                  <c:v>220.05</c:v>
                </c:pt>
                <c:pt idx="62">
                  <c:v>294.12</c:v>
                </c:pt>
                <c:pt idx="63">
                  <c:v>201.11</c:v>
                </c:pt>
                <c:pt idx="64">
                  <c:v>261.27</c:v>
                </c:pt>
                <c:pt idx="65">
                  <c:v>307.82</c:v>
                </c:pt>
                <c:pt idx="66">
                  <c:v>333.05</c:v>
                </c:pt>
                <c:pt idx="67">
                  <c:v>455.97</c:v>
                </c:pt>
                <c:pt idx="68">
                  <c:v>242.31</c:v>
                </c:pt>
                <c:pt idx="69">
                  <c:v>344.06</c:v>
                </c:pt>
                <c:pt idx="70">
                  <c:v>144.56</c:v>
                </c:pt>
                <c:pt idx="71">
                  <c:v>441.54</c:v>
                </c:pt>
                <c:pt idx="72">
                  <c:v>114.7</c:v>
                </c:pt>
                <c:pt idx="73">
                  <c:v>257.42</c:v>
                </c:pt>
                <c:pt idx="74">
                  <c:v>305.32</c:v>
                </c:pt>
                <c:pt idx="75">
                  <c:v>258.24</c:v>
                </c:pt>
                <c:pt idx="76">
                  <c:v>441.47</c:v>
                </c:pt>
                <c:pt idx="77">
                  <c:v>172.26</c:v>
                </c:pt>
                <c:pt idx="78">
                  <c:v>500.1</c:v>
                </c:pt>
                <c:pt idx="79">
                  <c:v>581.16</c:v>
                </c:pt>
                <c:pt idx="80">
                  <c:v>271.88</c:v>
                </c:pt>
                <c:pt idx="81">
                  <c:v>400.29</c:v>
                </c:pt>
                <c:pt idx="82">
                  <c:v>177.77</c:v>
                </c:pt>
                <c:pt idx="83">
                  <c:v>406.86</c:v>
                </c:pt>
                <c:pt idx="84">
                  <c:v>526</c:v>
                </c:pt>
                <c:pt idx="85">
                  <c:v>333.97</c:v>
                </c:pt>
                <c:pt idx="86">
                  <c:v>305.8</c:v>
                </c:pt>
                <c:pt idx="87">
                  <c:v>649.79</c:v>
                </c:pt>
                <c:pt idx="88">
                  <c:v>441.53</c:v>
                </c:pt>
                <c:pt idx="89">
                  <c:v>480.51</c:v>
                </c:pt>
                <c:pt idx="90">
                  <c:v>346.99</c:v>
                </c:pt>
                <c:pt idx="91">
                  <c:v>229.23</c:v>
                </c:pt>
                <c:pt idx="92">
                  <c:v>334.84</c:v>
                </c:pt>
                <c:pt idx="93">
                  <c:v>231.79</c:v>
                </c:pt>
                <c:pt idx="94">
                  <c:v>328.54</c:v>
                </c:pt>
                <c:pt idx="95">
                  <c:v>366.99</c:v>
                </c:pt>
                <c:pt idx="96">
                  <c:v>348.96</c:v>
                </c:pt>
                <c:pt idx="97">
                  <c:v>542.62</c:v>
                </c:pt>
                <c:pt idx="98">
                  <c:v>297.69</c:v>
                </c:pt>
                <c:pt idx="99">
                  <c:v>451.1</c:v>
                </c:pt>
                <c:pt idx="100">
                  <c:v>210.95</c:v>
                </c:pt>
                <c:pt idx="101">
                  <c:v>445.59</c:v>
                </c:pt>
                <c:pt idx="102">
                  <c:v>202.82</c:v>
                </c:pt>
                <c:pt idx="103">
                  <c:v>231.32</c:v>
                </c:pt>
                <c:pt idx="104">
                  <c:v>450.29</c:v>
                </c:pt>
                <c:pt idx="105">
                  <c:v>307.72</c:v>
                </c:pt>
                <c:pt idx="106">
                  <c:v>367.59</c:v>
                </c:pt>
                <c:pt idx="107">
                  <c:v>769.46</c:v>
                </c:pt>
                <c:pt idx="108">
                  <c:v>327.92</c:v>
                </c:pt>
                <c:pt idx="109">
                  <c:v>553.3</c:v>
                </c:pt>
                <c:pt idx="110">
                  <c:v>352.86</c:v>
                </c:pt>
                <c:pt idx="111">
                  <c:v>313.91</c:v>
                </c:pt>
                <c:pt idx="112">
                  <c:v>355.1</c:v>
                </c:pt>
                <c:pt idx="113">
                  <c:v>192.76</c:v>
                </c:pt>
                <c:pt idx="114">
                  <c:v>264.44</c:v>
                </c:pt>
                <c:pt idx="115">
                  <c:v>172.21</c:v>
                </c:pt>
                <c:pt idx="116">
                  <c:v>474.66</c:v>
                </c:pt>
                <c:pt idx="117">
                  <c:v>433.58</c:v>
                </c:pt>
                <c:pt idx="118">
                  <c:v>343.6</c:v>
                </c:pt>
                <c:pt idx="119">
                  <c:v>318.3</c:v>
                </c:pt>
                <c:pt idx="120">
                  <c:v>358.41</c:v>
                </c:pt>
                <c:pt idx="121">
                  <c:v>581.5</c:v>
                </c:pt>
                <c:pt idx="122">
                  <c:v>410.9</c:v>
                </c:pt>
                <c:pt idx="123">
                  <c:v>179.51</c:v>
                </c:pt>
                <c:pt idx="124">
                  <c:v>511.14</c:v>
                </c:pt>
                <c:pt idx="125">
                  <c:v>150.18</c:v>
                </c:pt>
                <c:pt idx="126">
                  <c:v>352.65</c:v>
                </c:pt>
                <c:pt idx="127">
                  <c:v>472.62</c:v>
                </c:pt>
                <c:pt idx="128">
                  <c:v>195.33</c:v>
                </c:pt>
                <c:pt idx="129">
                  <c:v>64.63</c:v>
                </c:pt>
                <c:pt idx="130">
                  <c:v>461.12</c:v>
                </c:pt>
                <c:pt idx="131">
                  <c:v>437.11</c:v>
                </c:pt>
                <c:pt idx="132">
                  <c:v>268.97</c:v>
                </c:pt>
                <c:pt idx="133">
                  <c:v>265.26</c:v>
                </c:pt>
                <c:pt idx="134">
                  <c:v>178.91</c:v>
                </c:pt>
                <c:pt idx="135">
                  <c:v>356.5</c:v>
                </c:pt>
                <c:pt idx="136">
                  <c:v>229.65</c:v>
                </c:pt>
                <c:pt idx="137">
                  <c:v>121.54</c:v>
                </c:pt>
                <c:pt idx="138">
                  <c:v>268</c:v>
                </c:pt>
                <c:pt idx="139">
                  <c:v>426.16</c:v>
                </c:pt>
                <c:pt idx="140">
                  <c:v>316.32</c:v>
                </c:pt>
                <c:pt idx="141">
                  <c:v>492.5</c:v>
                </c:pt>
                <c:pt idx="142">
                  <c:v>232.33</c:v>
                </c:pt>
                <c:pt idx="143">
                  <c:v>165.97</c:v>
                </c:pt>
                <c:pt idx="144">
                  <c:v>675.5</c:v>
                </c:pt>
                <c:pt idx="145">
                  <c:v>134.66</c:v>
                </c:pt>
                <c:pt idx="146">
                  <c:v>487.36</c:v>
                </c:pt>
                <c:pt idx="147">
                  <c:v>314.74</c:v>
                </c:pt>
                <c:pt idx="148">
                  <c:v>111.39</c:v>
                </c:pt>
                <c:pt idx="149">
                  <c:v>318.47</c:v>
                </c:pt>
                <c:pt idx="150">
                  <c:v>301.75</c:v>
                </c:pt>
                <c:pt idx="151">
                  <c:v>413.36</c:v>
                </c:pt>
                <c:pt idx="152">
                  <c:v>286.68</c:v>
                </c:pt>
                <c:pt idx="153">
                  <c:v>556.31</c:v>
                </c:pt>
                <c:pt idx="154">
                  <c:v>332.19</c:v>
                </c:pt>
                <c:pt idx="155">
                  <c:v>336.24</c:v>
                </c:pt>
                <c:pt idx="156">
                  <c:v>180.39</c:v>
                </c:pt>
                <c:pt idx="157">
                  <c:v>484.35</c:v>
                </c:pt>
                <c:pt idx="158">
                  <c:v>562.82</c:v>
                </c:pt>
                <c:pt idx="159">
                  <c:v>447.34</c:v>
                </c:pt>
                <c:pt idx="160">
                  <c:v>649.05</c:v>
                </c:pt>
                <c:pt idx="161">
                  <c:v>205</c:v>
                </c:pt>
                <c:pt idx="162">
                  <c:v>263.32</c:v>
                </c:pt>
                <c:pt idx="163">
                  <c:v>443.99</c:v>
                </c:pt>
                <c:pt idx="164">
                  <c:v>395.31</c:v>
                </c:pt>
                <c:pt idx="165">
                  <c:v>335.04</c:v>
                </c:pt>
                <c:pt idx="166">
                  <c:v>333.85</c:v>
                </c:pt>
                <c:pt idx="167">
                  <c:v>531.06</c:v>
                </c:pt>
                <c:pt idx="168">
                  <c:v>232.19</c:v>
                </c:pt>
                <c:pt idx="169">
                  <c:v>223.04</c:v>
                </c:pt>
                <c:pt idx="170">
                  <c:v>422.92</c:v>
                </c:pt>
                <c:pt idx="171">
                  <c:v>257.45</c:v>
                </c:pt>
                <c:pt idx="172">
                  <c:v>380.75</c:v>
                </c:pt>
                <c:pt idx="173">
                  <c:v>225.37</c:v>
                </c:pt>
                <c:pt idx="174">
                  <c:v>582.56</c:v>
                </c:pt>
                <c:pt idx="175">
                  <c:v>344.91</c:v>
                </c:pt>
                <c:pt idx="176">
                  <c:v>330.79</c:v>
                </c:pt>
                <c:pt idx="177">
                  <c:v>460</c:v>
                </c:pt>
                <c:pt idx="178">
                  <c:v>439.88</c:v>
                </c:pt>
                <c:pt idx="179">
                  <c:v>255.79</c:v>
                </c:pt>
                <c:pt idx="180">
                  <c:v>159.74</c:v>
                </c:pt>
                <c:pt idx="181">
                  <c:v>404.39</c:v>
                </c:pt>
                <c:pt idx="182">
                  <c:v>187.57</c:v>
                </c:pt>
                <c:pt idx="183">
                  <c:v>410.87</c:v>
                </c:pt>
                <c:pt idx="184">
                  <c:v>275.78</c:v>
                </c:pt>
                <c:pt idx="185">
                  <c:v>746.74</c:v>
                </c:pt>
                <c:pt idx="186">
                  <c:v>310.24</c:v>
                </c:pt>
                <c:pt idx="187">
                  <c:v>341.12</c:v>
                </c:pt>
                <c:pt idx="188">
                  <c:v>91.71</c:v>
                </c:pt>
                <c:pt idx="189">
                  <c:v>331.59</c:v>
                </c:pt>
                <c:pt idx="190">
                  <c:v>381.07</c:v>
                </c:pt>
                <c:pt idx="191">
                  <c:v>255.24</c:v>
                </c:pt>
                <c:pt idx="192">
                  <c:v>692.05</c:v>
                </c:pt>
                <c:pt idx="193">
                  <c:v>344.41</c:v>
                </c:pt>
                <c:pt idx="194">
                  <c:v>397.06</c:v>
                </c:pt>
                <c:pt idx="195">
                  <c:v>586.14</c:v>
                </c:pt>
                <c:pt idx="196">
                  <c:v>333.36</c:v>
                </c:pt>
                <c:pt idx="197">
                  <c:v>245.45</c:v>
                </c:pt>
                <c:pt idx="198">
                  <c:v>379.09</c:v>
                </c:pt>
                <c:pt idx="199">
                  <c:v>440.95</c:v>
                </c:pt>
              </c:numCache>
            </c:numRef>
          </c:yVal>
          <c:smooth val="1"/>
        </c:ser>
        <c:axId val="72534034"/>
        <c:axId val="91237150"/>
      </c:scatterChart>
      <c:valAx>
        <c:axId val="7253403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237150"/>
        <c:crosses val="autoZero"/>
        <c:crossBetween val="midCat"/>
      </c:valAx>
      <c:valAx>
        <c:axId val="912371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53403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Summary'!$A$23:$A$27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Summary'!$B$23:$B$27</c:f>
              <c:numCache>
                <c:formatCode>#,##0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</c:ser>
        <c:gapWidth val="150"/>
        <c:overlap val="0"/>
        <c:axId val="40232398"/>
        <c:axId val="8016075"/>
      </c:barChart>
      <c:catAx>
        <c:axId val="402323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16075"/>
        <c:crosses val="autoZero"/>
        <c:auto val="1"/>
        <c:lblAlgn val="ctr"/>
        <c:lblOffset val="100"/>
        <c:noMultiLvlLbl val="0"/>
      </c:catAx>
      <c:valAx>
        <c:axId val="80160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2323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Trend'!B3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Trend'!$A$4:$A$16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'Monthly Trend'!$B$4:$B$16</c:f>
              <c:numCache>
                <c:formatCode>#,##0.00</c:formatCode>
                <c:ptCount val="13"/>
                <c:pt idx="0">
                  <c:v>19029.96</c:v>
                </c:pt>
                <c:pt idx="1">
                  <c:v>18507.34</c:v>
                </c:pt>
                <c:pt idx="2">
                  <c:v>20187.51</c:v>
                </c:pt>
                <c:pt idx="3">
                  <c:v>11609.04</c:v>
                </c:pt>
                <c:pt idx="4">
                  <c:v>10091.7</c:v>
                </c:pt>
                <c:pt idx="5">
                  <c:v>20533.5</c:v>
                </c:pt>
                <c:pt idx="6">
                  <c:v>14215.24</c:v>
                </c:pt>
                <c:pt idx="7">
                  <c:v>20135.03</c:v>
                </c:pt>
                <c:pt idx="8">
                  <c:v>11120.04</c:v>
                </c:pt>
                <c:pt idx="9">
                  <c:v>14914.65</c:v>
                </c:pt>
                <c:pt idx="10">
                  <c:v>14006.36</c:v>
                </c:pt>
                <c:pt idx="11">
                  <c:v>17655.22</c:v>
                </c:pt>
                <c:pt idx="12">
                  <c:v>3212.17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5224210"/>
        <c:axId val="39574897"/>
      </c:lineChart>
      <c:catAx>
        <c:axId val="7522421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574897"/>
        <c:crosses val="autoZero"/>
        <c:auto val="1"/>
        <c:lblAlgn val="ctr"/>
        <c:lblOffset val="100"/>
        <c:noMultiLvlLbl val="0"/>
      </c:catAx>
      <c:valAx>
        <c:axId val="395748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2242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'Pivot Summary'!$A$32:$A$36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'Pivot Summary'!$B$32:$B$36</c:f>
              <c:numCache>
                <c:formatCode>#,##0</c:formatCode>
                <c:ptCount val="5"/>
                <c:pt idx="0">
                  <c:v>47002.46</c:v>
                </c:pt>
                <c:pt idx="1">
                  <c:v>41927.59</c:v>
                </c:pt>
                <c:pt idx="2">
                  <c:v>41044</c:v>
                </c:pt>
                <c:pt idx="3">
                  <c:v>36612.89</c:v>
                </c:pt>
                <c:pt idx="4">
                  <c:v>28630.82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Customers by Total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'Customer Analysis'!$A$4:$A$13</c:f>
              <c:strCache>
                <c:ptCount val="10"/>
                <c:pt idx="0">
                  <c:v>CUST015</c:v>
                </c:pt>
                <c:pt idx="1">
                  <c:v>CUST028</c:v>
                </c:pt>
                <c:pt idx="2">
                  <c:v>CUST007</c:v>
                </c:pt>
                <c:pt idx="3">
                  <c:v>CUST008</c:v>
                </c:pt>
                <c:pt idx="4">
                  <c:v>CUST026</c:v>
                </c:pt>
                <c:pt idx="5">
                  <c:v>CUST021</c:v>
                </c:pt>
                <c:pt idx="6">
                  <c:v>CUST003</c:v>
                </c:pt>
                <c:pt idx="7">
                  <c:v>CUST012</c:v>
                </c:pt>
                <c:pt idx="8">
                  <c:v>CUST030</c:v>
                </c:pt>
                <c:pt idx="9">
                  <c:v>CUST004</c:v>
                </c:pt>
              </c:strCache>
            </c:strRef>
          </c:cat>
          <c:val>
            <c:numRef>
              <c:f>'Customer Analysis'!$C$4:$C$13</c:f>
              <c:numCache>
                <c:formatCode>#,##0.00</c:formatCode>
                <c:ptCount val="10"/>
                <c:pt idx="0">
                  <c:v>11611.06</c:v>
                </c:pt>
                <c:pt idx="1">
                  <c:v>10293.87</c:v>
                </c:pt>
                <c:pt idx="2">
                  <c:v>9941.88</c:v>
                </c:pt>
                <c:pt idx="3">
                  <c:v>9760.8</c:v>
                </c:pt>
                <c:pt idx="4">
                  <c:v>9371.81</c:v>
                </c:pt>
                <c:pt idx="5">
                  <c:v>8740.18</c:v>
                </c:pt>
                <c:pt idx="6">
                  <c:v>8490.18</c:v>
                </c:pt>
                <c:pt idx="7">
                  <c:v>8339</c:v>
                </c:pt>
                <c:pt idx="8">
                  <c:v>7928.71</c:v>
                </c:pt>
                <c:pt idx="9">
                  <c:v>7813.59</c:v>
                </c:pt>
              </c:numCache>
            </c:numRef>
          </c:val>
        </c:ser>
        <c:gapWidth val="150"/>
        <c:overlap val="0"/>
        <c:axId val="89505949"/>
        <c:axId val="66866427"/>
      </c:barChart>
      <c:catAx>
        <c:axId val="895059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866427"/>
        <c:crosses val="autoZero"/>
        <c:auto val="1"/>
        <c:lblAlgn val="ctr"/>
        <c:lblOffset val="100"/>
        <c:noMultiLvlLbl val="0"/>
      </c:catAx>
      <c:valAx>
        <c:axId val="668664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5059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5" Type="http://schemas.openxmlformats.org/officeDocument/2006/relationships/chart" Target="../charts/chart8.xml"/><Relationship Id="rId6" Type="http://schemas.openxmlformats.org/officeDocument/2006/relationships/chart" Target="../charts/chart9.xml"/><Relationship Id="rId7" Type="http://schemas.openxmlformats.org/officeDocument/2006/relationships/chart" Target="../charts/chart10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Relationship Id="rId4" Type="http://schemas.openxmlformats.org/officeDocument/2006/relationships/chart" Target="../charts/chart1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3</xdr:col>
      <xdr:colOff>46800</xdr:colOff>
      <xdr:row>14</xdr:row>
      <xdr:rowOff>136440</xdr:rowOff>
    </xdr:to>
    <xdr:graphicFrame>
      <xdr:nvGraphicFramePr>
        <xdr:cNvPr id="0" name="Chart 1"/>
        <xdr:cNvGraphicFramePr/>
      </xdr:nvGraphicFramePr>
      <xdr:xfrm>
        <a:off x="0" y="571680"/>
        <a:ext cx="2879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3</xdr:row>
      <xdr:rowOff>0</xdr:rowOff>
    </xdr:from>
    <xdr:to>
      <xdr:col>6</xdr:col>
      <xdr:colOff>47160</xdr:colOff>
      <xdr:row>14</xdr:row>
      <xdr:rowOff>136440</xdr:rowOff>
    </xdr:to>
    <xdr:graphicFrame>
      <xdr:nvGraphicFramePr>
        <xdr:cNvPr id="1" name="Chart 2"/>
        <xdr:cNvGraphicFramePr/>
      </xdr:nvGraphicFramePr>
      <xdr:xfrm>
        <a:off x="2832840" y="571680"/>
        <a:ext cx="2879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</xdr:row>
      <xdr:rowOff>0</xdr:rowOff>
    </xdr:from>
    <xdr:to>
      <xdr:col>9</xdr:col>
      <xdr:colOff>46800</xdr:colOff>
      <xdr:row>14</xdr:row>
      <xdr:rowOff>136440</xdr:rowOff>
    </xdr:to>
    <xdr:graphicFrame>
      <xdr:nvGraphicFramePr>
        <xdr:cNvPr id="2" name="Chart 3"/>
        <xdr:cNvGraphicFramePr/>
      </xdr:nvGraphicFramePr>
      <xdr:xfrm>
        <a:off x="5665320" y="571680"/>
        <a:ext cx="2879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160560</xdr:rowOff>
    </xdr:from>
    <xdr:to>
      <xdr:col>9</xdr:col>
      <xdr:colOff>75960</xdr:colOff>
      <xdr:row>16</xdr:row>
      <xdr:rowOff>2520</xdr:rowOff>
    </xdr:to>
    <xdr:graphicFrame>
      <xdr:nvGraphicFramePr>
        <xdr:cNvPr id="3" name="Chart 1"/>
        <xdr:cNvGraphicFramePr/>
      </xdr:nvGraphicFramePr>
      <xdr:xfrm>
        <a:off x="0" y="38088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</xdr:row>
      <xdr:rowOff>160560</xdr:rowOff>
    </xdr:from>
    <xdr:to>
      <xdr:col>19</xdr:col>
      <xdr:colOff>75960</xdr:colOff>
      <xdr:row>16</xdr:row>
      <xdr:rowOff>2520</xdr:rowOff>
    </xdr:to>
    <xdr:graphicFrame>
      <xdr:nvGraphicFramePr>
        <xdr:cNvPr id="4" name="Chart 2"/>
        <xdr:cNvGraphicFramePr/>
      </xdr:nvGraphicFramePr>
      <xdr:xfrm>
        <a:off x="6114960" y="38088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18</xdr:row>
      <xdr:rowOff>160560</xdr:rowOff>
    </xdr:from>
    <xdr:to>
      <xdr:col>9</xdr:col>
      <xdr:colOff>75960</xdr:colOff>
      <xdr:row>33</xdr:row>
      <xdr:rowOff>2880</xdr:rowOff>
    </xdr:to>
    <xdr:graphicFrame>
      <xdr:nvGraphicFramePr>
        <xdr:cNvPr id="5" name="Chart 3"/>
        <xdr:cNvGraphicFramePr/>
      </xdr:nvGraphicFramePr>
      <xdr:xfrm>
        <a:off x="0" y="361944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18</xdr:row>
      <xdr:rowOff>160560</xdr:rowOff>
    </xdr:from>
    <xdr:to>
      <xdr:col>19</xdr:col>
      <xdr:colOff>75960</xdr:colOff>
      <xdr:row>33</xdr:row>
      <xdr:rowOff>2880</xdr:rowOff>
    </xdr:to>
    <xdr:graphicFrame>
      <xdr:nvGraphicFramePr>
        <xdr:cNvPr id="6" name="Chart 4"/>
        <xdr:cNvGraphicFramePr/>
      </xdr:nvGraphicFramePr>
      <xdr:xfrm>
        <a:off x="6114960" y="361944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35</xdr:row>
      <xdr:rowOff>160560</xdr:rowOff>
    </xdr:from>
    <xdr:to>
      <xdr:col>9</xdr:col>
      <xdr:colOff>75960</xdr:colOff>
      <xdr:row>50</xdr:row>
      <xdr:rowOff>2880</xdr:rowOff>
    </xdr:to>
    <xdr:graphicFrame>
      <xdr:nvGraphicFramePr>
        <xdr:cNvPr id="7" name="Chart 5"/>
        <xdr:cNvGraphicFramePr/>
      </xdr:nvGraphicFramePr>
      <xdr:xfrm>
        <a:off x="0" y="685800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35</xdr:row>
      <xdr:rowOff>160560</xdr:rowOff>
    </xdr:from>
    <xdr:to>
      <xdr:col>19</xdr:col>
      <xdr:colOff>75960</xdr:colOff>
      <xdr:row>50</xdr:row>
      <xdr:rowOff>2880</xdr:rowOff>
    </xdr:to>
    <xdr:graphicFrame>
      <xdr:nvGraphicFramePr>
        <xdr:cNvPr id="8" name="Chart 6"/>
        <xdr:cNvGraphicFramePr/>
      </xdr:nvGraphicFramePr>
      <xdr:xfrm>
        <a:off x="6114960" y="685800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52</xdr:row>
      <xdr:rowOff>160560</xdr:rowOff>
    </xdr:from>
    <xdr:to>
      <xdr:col>9</xdr:col>
      <xdr:colOff>75960</xdr:colOff>
      <xdr:row>67</xdr:row>
      <xdr:rowOff>2880</xdr:rowOff>
    </xdr:to>
    <xdr:graphicFrame>
      <xdr:nvGraphicFramePr>
        <xdr:cNvPr id="9" name="Chart 7"/>
        <xdr:cNvGraphicFramePr/>
      </xdr:nvGraphicFramePr>
      <xdr:xfrm>
        <a:off x="0" y="1009656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3</xdr:col>
      <xdr:colOff>1350360</xdr:colOff>
      <xdr:row>22</xdr:row>
      <xdr:rowOff>32760</xdr:rowOff>
    </xdr:to>
    <xdr:graphicFrame>
      <xdr:nvGraphicFramePr>
        <xdr:cNvPr id="10" name="Chart 1"/>
        <xdr:cNvGraphicFramePr/>
      </xdr:nvGraphicFramePr>
      <xdr:xfrm>
        <a:off x="0" y="214308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8</xdr:row>
      <xdr:rowOff>0</xdr:rowOff>
    </xdr:from>
    <xdr:to>
      <xdr:col>7</xdr:col>
      <xdr:colOff>1350360</xdr:colOff>
      <xdr:row>22</xdr:row>
      <xdr:rowOff>32760</xdr:rowOff>
    </xdr:to>
    <xdr:graphicFrame>
      <xdr:nvGraphicFramePr>
        <xdr:cNvPr id="11" name="Chart 2"/>
        <xdr:cNvGraphicFramePr/>
      </xdr:nvGraphicFramePr>
      <xdr:xfrm>
        <a:off x="5638680" y="214308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24</xdr:row>
      <xdr:rowOff>0</xdr:rowOff>
    </xdr:from>
    <xdr:to>
      <xdr:col>3</xdr:col>
      <xdr:colOff>1350360</xdr:colOff>
      <xdr:row>38</xdr:row>
      <xdr:rowOff>32760</xdr:rowOff>
    </xdr:to>
    <xdr:graphicFrame>
      <xdr:nvGraphicFramePr>
        <xdr:cNvPr id="12" name="Chart 3"/>
        <xdr:cNvGraphicFramePr/>
      </xdr:nvGraphicFramePr>
      <xdr:xfrm>
        <a:off x="0" y="519120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24</xdr:row>
      <xdr:rowOff>0</xdr:rowOff>
    </xdr:from>
    <xdr:to>
      <xdr:col>7</xdr:col>
      <xdr:colOff>1350360</xdr:colOff>
      <xdr:row>38</xdr:row>
      <xdr:rowOff>32760</xdr:rowOff>
    </xdr:to>
    <xdr:graphicFrame>
      <xdr:nvGraphicFramePr>
        <xdr:cNvPr id="13" name="Chart 4"/>
        <xdr:cNvGraphicFramePr/>
      </xdr:nvGraphicFramePr>
      <xdr:xfrm>
        <a:off x="5638680" y="519120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PR2_Analyzer_Project.xlsx" TargetMode="External"/><Relationship Id="rId2" Type="http://schemas.openxmlformats.org/officeDocument/2006/relationships/hyperlink" Target="PR2_Analyzer_Project.xlsx" TargetMode="External"/><Relationship Id="rId3" Type="http://schemas.openxmlformats.org/officeDocument/2006/relationships/hyperlink" Target="PR2_Analyzer_Project.xlsx" TargetMode="External"/><Relationship Id="rId4" Type="http://schemas.openxmlformats.org/officeDocument/2006/relationships/hyperlink" Target="PR2_Analyzer_Project.xlsx" TargetMode="External"/><Relationship Id="rId5" Type="http://schemas.openxmlformats.org/officeDocument/2006/relationships/hyperlink" Target="PR2_Analyzer_Project.xlsx" TargetMode="External"/><Relationship Id="rId6" Type="http://schemas.openxmlformats.org/officeDocument/2006/relationships/hyperlink" Target="PR2_Analyzer_Project.xlsx" TargetMode="External"/><Relationship Id="rId7" Type="http://schemas.openxmlformats.org/officeDocument/2006/relationships/hyperlink" Target="PR2_Analyzer_Project.xlsx" TargetMode="External"/><Relationship Id="rId8" Type="http://schemas.openxmlformats.org/officeDocument/2006/relationships/hyperlink" Target="PR2_Analyzer_Project.xlsx" TargetMode="External"/><Relationship Id="rId9" Type="http://schemas.openxmlformats.org/officeDocument/2006/relationships/hyperlink" Target="PR2_Analyzer_Project.xlsx" TargetMode="External"/><Relationship Id="rId10" Type="http://schemas.openxmlformats.org/officeDocument/2006/relationships/hyperlink" Target="PR2_Analyzer_Project.xlsx" TargetMode="External"/><Relationship Id="rId11" Type="http://schemas.openxmlformats.org/officeDocument/2006/relationships/hyperlink" Target="PR2_Analyzer_Project.xls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3.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2" t="s">
        <v>0</v>
      </c>
      <c r="H1" s="2"/>
      <c r="I1" s="2"/>
      <c r="J1" s="2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2"/>
      <c r="H2" s="2"/>
      <c r="I2" s="2"/>
      <c r="J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</row>
    <row r="17" customFormat="false" ht="24" hidden="false" customHeight="true" outlineLevel="0" collapsed="false">
      <c r="B17" s="4" t="s">
        <v>1</v>
      </c>
      <c r="C17" s="4"/>
      <c r="D17" s="5" t="s">
        <v>2</v>
      </c>
      <c r="E17" s="5"/>
      <c r="F17" s="5"/>
      <c r="G17" s="5"/>
      <c r="H17" s="5"/>
      <c r="I17" s="5"/>
      <c r="J17" s="5"/>
    </row>
    <row r="18" customFormat="false" ht="24" hidden="false" customHeight="true" outlineLevel="0" collapsed="false">
      <c r="B18" s="4"/>
      <c r="C18" s="4"/>
      <c r="D18" s="5"/>
      <c r="E18" s="5"/>
      <c r="F18" s="5"/>
      <c r="G18" s="5"/>
      <c r="H18" s="5"/>
      <c r="I18" s="5"/>
      <c r="J18" s="5"/>
    </row>
    <row r="19" customFormat="false" ht="24" hidden="false" customHeight="true" outlineLevel="0" collapsed="false">
      <c r="B19" s="4"/>
      <c r="C19" s="4"/>
      <c r="D19" s="5"/>
      <c r="E19" s="5"/>
      <c r="F19" s="5"/>
      <c r="G19" s="5"/>
      <c r="H19" s="5"/>
      <c r="I19" s="5"/>
      <c r="J19" s="5"/>
    </row>
    <row r="20" customFormat="false" ht="24" hidden="false" customHeight="true" outlineLevel="0" collapsed="false">
      <c r="B20" s="4"/>
      <c r="C20" s="4"/>
      <c r="D20" s="6" t="s">
        <v>3</v>
      </c>
      <c r="E20" s="6"/>
      <c r="F20" s="6"/>
      <c r="G20" s="6"/>
      <c r="H20" s="6"/>
      <c r="I20" s="6"/>
      <c r="J20" s="6"/>
    </row>
    <row r="21" customFormat="false" ht="24" hidden="false" customHeight="true" outlineLevel="0" collapsed="false">
      <c r="B21" s="4"/>
      <c r="C21" s="4"/>
      <c r="D21" s="6"/>
      <c r="E21" s="6"/>
      <c r="F21" s="6"/>
      <c r="G21" s="6"/>
      <c r="H21" s="6"/>
      <c r="I21" s="6"/>
      <c r="J21" s="6"/>
    </row>
    <row r="22" customFormat="false" ht="24" hidden="false" customHeight="true" outlineLevel="0" collapsed="false">
      <c r="D22" s="6"/>
      <c r="E22" s="6"/>
      <c r="F22" s="6"/>
      <c r="G22" s="6"/>
      <c r="H22" s="6"/>
      <c r="I22" s="6"/>
      <c r="J22" s="6"/>
    </row>
    <row r="24" customFormat="false" ht="15" hidden="false" customHeight="false" outlineLevel="0" collapsed="false">
      <c r="A24" s="7" t="s">
        <v>4</v>
      </c>
      <c r="B24" s="7"/>
      <c r="C24" s="7"/>
      <c r="D24" s="7"/>
      <c r="E24" s="7"/>
      <c r="F24" s="7"/>
      <c r="G24" s="7"/>
      <c r="H24" s="7"/>
      <c r="I24" s="7"/>
      <c r="J24" s="7"/>
    </row>
    <row r="26" customFormat="false" ht="15" hidden="false" customHeight="false" outlineLevel="0" collapsed="false">
      <c r="A26" s="8" t="s">
        <v>5</v>
      </c>
      <c r="B26" s="8"/>
      <c r="C26" s="8"/>
      <c r="D26" s="8"/>
      <c r="E26" s="8"/>
      <c r="F26" s="8"/>
      <c r="G26" s="8"/>
      <c r="H26" s="8"/>
      <c r="I26" s="8"/>
      <c r="J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</row>
    <row r="29" customFormat="false" ht="33.75" hidden="false" customHeight="true" outlineLevel="0" collapsed="false">
      <c r="B29" s="9" t="s">
        <v>6</v>
      </c>
      <c r="C29" s="9"/>
      <c r="D29" s="9"/>
      <c r="E29" s="10" t="s">
        <v>7</v>
      </c>
      <c r="F29" s="10"/>
      <c r="G29" s="10"/>
      <c r="H29" s="10"/>
      <c r="I29" s="10"/>
    </row>
    <row r="30" customFormat="false" ht="33.75" hidden="false" customHeight="true" outlineLevel="0" collapsed="false">
      <c r="B30" s="9" t="s">
        <v>8</v>
      </c>
      <c r="C30" s="9"/>
      <c r="D30" s="9"/>
      <c r="E30" s="10" t="s">
        <v>9</v>
      </c>
      <c r="F30" s="10"/>
      <c r="G30" s="10"/>
      <c r="H30" s="10"/>
      <c r="I30" s="10"/>
    </row>
    <row r="31" customFormat="false" ht="33.75" hidden="false" customHeight="true" outlineLevel="0" collapsed="false">
      <c r="B31" s="9" t="s">
        <v>10</v>
      </c>
      <c r="C31" s="9"/>
      <c r="D31" s="9"/>
      <c r="E31" s="11" t="n">
        <v>46304</v>
      </c>
      <c r="F31" s="11"/>
      <c r="G31" s="11"/>
      <c r="H31" s="11"/>
      <c r="I31" s="11"/>
    </row>
    <row r="33" customFormat="false" ht="15" hidden="false" customHeight="false" outlineLevel="0" collapsed="false">
      <c r="A33" s="12" t="s">
        <v>11</v>
      </c>
      <c r="B33" s="12"/>
      <c r="C33" s="12"/>
      <c r="D33" s="12"/>
      <c r="E33" s="12"/>
      <c r="F33" s="12"/>
      <c r="G33" s="12"/>
      <c r="H33" s="12"/>
      <c r="I33" s="12"/>
      <c r="J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</row>
    <row r="36" customFormat="false" ht="7.5" hidden="false" customHeight="true" outlineLevel="0" collapsed="false">
      <c r="A36" s="13"/>
      <c r="B36" s="13"/>
      <c r="C36" s="13"/>
      <c r="D36" s="13"/>
      <c r="E36" s="13"/>
      <c r="F36" s="13"/>
      <c r="G36" s="13"/>
      <c r="H36" s="13"/>
      <c r="I36" s="13"/>
      <c r="J36" s="13"/>
    </row>
  </sheetData>
  <mergeCells count="13">
    <mergeCell ref="G1:J2"/>
    <mergeCell ref="B17:C21"/>
    <mergeCell ref="D17:J19"/>
    <mergeCell ref="D20:J22"/>
    <mergeCell ref="A24:J24"/>
    <mergeCell ref="A26:J27"/>
    <mergeCell ref="B29:D29"/>
    <mergeCell ref="E29:I29"/>
    <mergeCell ref="B30:D30"/>
    <mergeCell ref="E30:I30"/>
    <mergeCell ref="B31:D31"/>
    <mergeCell ref="E31:I31"/>
    <mergeCell ref="A33:J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75"/>
  </cols>
  <sheetData>
    <row r="1" customFormat="false" ht="25.5" hidden="false" customHeight="true" outlineLevel="0" collapsed="false">
      <c r="A1" s="14" t="s">
        <v>12</v>
      </c>
      <c r="B1" s="14"/>
      <c r="C1" s="14"/>
    </row>
    <row r="2" customFormat="false" ht="24" hidden="false" customHeight="true" outlineLevel="0" collapsed="false">
      <c r="A2" s="15" t="n">
        <v>1</v>
      </c>
      <c r="B2" s="16" t="s">
        <v>13</v>
      </c>
      <c r="C2" s="17" t="s">
        <v>14</v>
      </c>
    </row>
    <row r="3" customFormat="false" ht="24" hidden="false" customHeight="true" outlineLevel="0" collapsed="false">
      <c r="A3" s="15" t="n">
        <v>2</v>
      </c>
      <c r="B3" s="16" t="s">
        <v>15</v>
      </c>
      <c r="C3" s="17" t="s">
        <v>16</v>
      </c>
    </row>
    <row r="4" customFormat="false" ht="24" hidden="false" customHeight="true" outlineLevel="0" collapsed="false">
      <c r="A4" s="15" t="n">
        <v>3</v>
      </c>
      <c r="B4" s="16" t="s">
        <v>17</v>
      </c>
      <c r="C4" s="17" t="s">
        <v>18</v>
      </c>
    </row>
    <row r="5" customFormat="false" ht="24" hidden="false" customHeight="true" outlineLevel="0" collapsed="false">
      <c r="A5" s="15" t="n">
        <v>4</v>
      </c>
      <c r="B5" s="16" t="s">
        <v>19</v>
      </c>
      <c r="C5" s="17" t="s">
        <v>20</v>
      </c>
    </row>
    <row r="6" customFormat="false" ht="24" hidden="false" customHeight="true" outlineLevel="0" collapsed="false">
      <c r="A6" s="15" t="n">
        <v>5</v>
      </c>
      <c r="B6" s="16" t="s">
        <v>21</v>
      </c>
      <c r="C6" s="17" t="s">
        <v>22</v>
      </c>
    </row>
    <row r="7" customFormat="false" ht="24" hidden="false" customHeight="true" outlineLevel="0" collapsed="false">
      <c r="A7" s="15" t="n">
        <v>6</v>
      </c>
      <c r="B7" s="16" t="s">
        <v>23</v>
      </c>
      <c r="C7" s="17" t="s">
        <v>24</v>
      </c>
    </row>
    <row r="8" customFormat="false" ht="24" hidden="false" customHeight="true" outlineLevel="0" collapsed="false">
      <c r="A8" s="15" t="n">
        <v>7</v>
      </c>
      <c r="B8" s="16" t="s">
        <v>25</v>
      </c>
      <c r="C8" s="17" t="s">
        <v>26</v>
      </c>
    </row>
    <row r="9" customFormat="false" ht="24" hidden="false" customHeight="true" outlineLevel="0" collapsed="false">
      <c r="A9" s="15" t="n">
        <v>8</v>
      </c>
      <c r="B9" s="16" t="s">
        <v>27</v>
      </c>
      <c r="C9" s="17" t="s">
        <v>28</v>
      </c>
    </row>
    <row r="10" customFormat="false" ht="24" hidden="false" customHeight="true" outlineLevel="0" collapsed="false">
      <c r="A10" s="15" t="n">
        <v>9</v>
      </c>
      <c r="B10" s="16" t="s">
        <v>29</v>
      </c>
      <c r="C10" s="17" t="s">
        <v>30</v>
      </c>
    </row>
    <row r="11" customFormat="false" ht="24" hidden="false" customHeight="true" outlineLevel="0" collapsed="false">
      <c r="A11" s="15" t="n">
        <v>10</v>
      </c>
      <c r="B11" s="16" t="s">
        <v>31</v>
      </c>
      <c r="C11" s="17" t="s">
        <v>32</v>
      </c>
    </row>
    <row r="12" customFormat="false" ht="24" hidden="false" customHeight="true" outlineLevel="0" collapsed="false">
      <c r="A12" s="15" t="n">
        <v>11</v>
      </c>
      <c r="B12" s="16" t="s">
        <v>33</v>
      </c>
      <c r="C12" s="17" t="s">
        <v>34</v>
      </c>
    </row>
  </sheetData>
  <mergeCells count="1">
    <mergeCell ref="A1:C1"/>
  </mergeCells>
  <hyperlinks>
    <hyperlink ref="B2" r:id="rId1" location="'Project%20Instructions'!A1" display="Project Instructions"/>
    <hyperlink ref="B3" r:id="rId2" location="'Dataset'!A1" display="Dataset"/>
    <hyperlink ref="B4" r:id="rId3" location="'Customer%20Analysis'!A1" display="Customer Analysis"/>
    <hyperlink ref="B5" r:id="rId4" location="'High%20Value%20Customers'!A1" display="High Value Customers"/>
    <hyperlink ref="B6" r:id="rId5" location="'What-If%20Analysis'!A1" display="What-If Analysis"/>
    <hyperlink ref="B7" r:id="rId6" location="'Regression'!A1" display="Regression"/>
    <hyperlink ref="B8" r:id="rId7" location="'Descriptive%20Stats'!A1" display="Descriptive Stats"/>
    <hyperlink ref="B9" r:id="rId8" location="'Monthly%20Trend'!A1" display="Monthly Trend"/>
    <hyperlink ref="B10" r:id="rId9" location="'Pivot%20Summary'!A1" display="Pivot Summary"/>
    <hyperlink ref="B11" r:id="rId10" location="'Charts'!A1" display="Charts"/>
    <hyperlink ref="B12" r:id="rId11" location="'Dashboard'!A1" display="Dashboar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9.7" hidden="false" customHeight="false" outlineLevel="0" collapsed="false">
      <c r="A1" s="18" t="s">
        <v>35</v>
      </c>
    </row>
    <row r="3" customFormat="false" ht="15" hidden="false" customHeight="false" outlineLevel="0" collapsed="false">
      <c r="A3" s="19" t="s">
        <v>36</v>
      </c>
    </row>
    <row r="4" customFormat="false" ht="15.75" hidden="false" customHeight="true" outlineLevel="0" collapsed="false">
      <c r="A4" s="20" t="s">
        <v>37</v>
      </c>
    </row>
    <row r="5" customFormat="false" ht="15.75" hidden="false" customHeight="true" outlineLevel="0" collapsed="false">
      <c r="A5" s="20" t="s">
        <v>38</v>
      </c>
    </row>
    <row r="6" customFormat="false" ht="15.75" hidden="false" customHeight="true" outlineLevel="0" collapsed="false">
      <c r="A6" s="20" t="s">
        <v>39</v>
      </c>
    </row>
    <row r="7" customFormat="false" ht="15.75" hidden="false" customHeight="true" outlineLevel="0" collapsed="false">
      <c r="A7" s="20" t="s">
        <v>40</v>
      </c>
    </row>
    <row r="8" customFormat="false" ht="15.75" hidden="false" customHeight="true" outlineLevel="0" collapsed="false">
      <c r="A8" s="20" t="s">
        <v>41</v>
      </c>
    </row>
    <row r="9" customFormat="false" ht="15.75" hidden="false" customHeight="true" outlineLevel="0" collapsed="false">
      <c r="A9" s="20" t="s">
        <v>42</v>
      </c>
    </row>
    <row r="10" customFormat="false" ht="15.75" hidden="false" customHeight="true" outlineLevel="0" collapsed="false">
      <c r="A10" s="20" t="s">
        <v>43</v>
      </c>
    </row>
    <row r="11" customFormat="false" ht="15.75" hidden="false" customHeight="true" outlineLevel="0" collapsed="false">
      <c r="A11" s="20" t="s">
        <v>44</v>
      </c>
    </row>
    <row r="12" customFormat="false" ht="15.75" hidden="false" customHeight="true" outlineLevel="0" collapsed="false">
      <c r="A12" s="20" t="s">
        <v>45</v>
      </c>
    </row>
    <row r="13" customFormat="false" ht="15.75" hidden="false" customHeight="true" outlineLevel="0" collapsed="false">
      <c r="A13" s="20" t="s">
        <v>46</v>
      </c>
    </row>
    <row r="14" customFormat="false" ht="15.75" hidden="false" customHeight="true" outlineLevel="0" collapsed="false">
      <c r="A14" s="20" t="s">
        <v>47</v>
      </c>
    </row>
    <row r="16" customFormat="false" ht="15" hidden="false" customHeight="false" outlineLevel="0" collapsed="false">
      <c r="A16" s="19" t="s">
        <v>48</v>
      </c>
    </row>
    <row r="17" customFormat="false" ht="15.75" hidden="false" customHeight="true" outlineLevel="0" collapsed="false">
      <c r="A17" s="20" t="s">
        <v>49</v>
      </c>
    </row>
    <row r="18" customFormat="false" ht="15.75" hidden="false" customHeight="true" outlineLevel="0" collapsed="false">
      <c r="A18" s="20" t="s">
        <v>50</v>
      </c>
    </row>
    <row r="19" customFormat="false" ht="15.75" hidden="false" customHeight="true" outlineLevel="0" collapsed="false">
      <c r="A19" s="20" t="s">
        <v>51</v>
      </c>
    </row>
    <row r="20" customFormat="false" ht="15.75" hidden="false" customHeight="true" outlineLevel="0" collapsed="false">
      <c r="A20" s="20" t="s">
        <v>52</v>
      </c>
    </row>
    <row r="21" customFormat="false" ht="15.75" hidden="false" customHeight="true" outlineLevel="0" collapsed="false">
      <c r="A21" s="20" t="s">
        <v>53</v>
      </c>
    </row>
    <row r="22" customFormat="false" ht="15.75" hidden="false" customHeight="true" outlineLevel="0" collapsed="false">
      <c r="A22" s="20" t="s">
        <v>54</v>
      </c>
    </row>
    <row r="23" customFormat="false" ht="15.75" hidden="false" customHeight="true" outlineLevel="0" collapsed="false">
      <c r="A23" s="20" t="s">
        <v>55</v>
      </c>
    </row>
    <row r="24" customFormat="false" ht="15.75" hidden="false" customHeight="true" outlineLevel="0" collapsed="false">
      <c r="A24" s="20" t="s">
        <v>56</v>
      </c>
    </row>
    <row r="25" customFormat="false" ht="15.75" hidden="false" customHeight="true" outlineLevel="0" collapsed="false">
      <c r="A25" s="20" t="s">
        <v>57</v>
      </c>
    </row>
    <row r="26" customFormat="false" ht="15.75" hidden="false" customHeight="true" outlineLevel="0" collapsed="false">
      <c r="A26" s="20" t="s">
        <v>58</v>
      </c>
    </row>
    <row r="28" customFormat="false" ht="15" hidden="false" customHeight="false" outlineLevel="0" collapsed="false">
      <c r="A28" s="19" t="s">
        <v>59</v>
      </c>
    </row>
    <row r="29" customFormat="false" ht="15.75" hidden="false" customHeight="true" outlineLevel="0" collapsed="false">
      <c r="A29" s="20" t="s">
        <v>60</v>
      </c>
    </row>
    <row r="31" customFormat="false" ht="15" hidden="false" customHeight="false" outlineLevel="0" collapsed="false">
      <c r="A31" s="19" t="s">
        <v>61</v>
      </c>
    </row>
    <row r="32" customFormat="false" ht="15.75" hidden="false" customHeight="true" outlineLevel="0" collapsed="false">
      <c r="A32" s="20" t="s">
        <v>62</v>
      </c>
    </row>
    <row r="33" customFormat="false" ht="30" hidden="false" customHeight="true" outlineLevel="0" collapsed="false">
      <c r="A33" s="20" t="s">
        <v>63</v>
      </c>
    </row>
    <row r="34" customFormat="false" ht="15.75" hidden="false" customHeight="true" outlineLevel="0" collapsed="false">
      <c r="A34" s="20" t="s">
        <v>64</v>
      </c>
    </row>
    <row r="36" customFormat="false" ht="15" hidden="false" customHeight="false" outlineLevel="0" collapsed="false">
      <c r="A36" s="21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9"/>
    <col collapsed="false" customWidth="true" hidden="false" outlineLevel="0" max="3" min="3" style="0" width="10"/>
    <col collapsed="false" customWidth="true" hidden="false" outlineLevel="0" max="4" min="4" style="0" width="17"/>
    <col collapsed="false" customWidth="true" hidden="false" outlineLevel="0" max="7" min="5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20"/>
    <col collapsed="false" customWidth="true" hidden="false" outlineLevel="0" max="11" min="11" style="0" width="11"/>
    <col collapsed="false" customWidth="true" hidden="false" outlineLevel="0" max="12" min="12" style="0" width="16"/>
    <col collapsed="false" customWidth="true" hidden="false" outlineLevel="0" max="13" min="13" style="0" width="14"/>
    <col collapsed="false" customWidth="true" hidden="false" outlineLevel="0" max="14" min="14" style="0" width="11"/>
  </cols>
  <sheetData>
    <row r="1" customFormat="false" ht="33.75" hidden="false" customHeight="true" outlineLevel="0" collapsed="false">
      <c r="A1" s="22" t="s">
        <v>66</v>
      </c>
      <c r="B1" s="22" t="s">
        <v>67</v>
      </c>
      <c r="C1" s="22" t="s">
        <v>68</v>
      </c>
      <c r="D1" s="22" t="s">
        <v>69</v>
      </c>
      <c r="E1" s="22" t="s">
        <v>70</v>
      </c>
      <c r="F1" s="22" t="s">
        <v>71</v>
      </c>
      <c r="G1" s="22" t="s">
        <v>72</v>
      </c>
      <c r="H1" s="22" t="s">
        <v>73</v>
      </c>
      <c r="I1" s="22" t="s">
        <v>74</v>
      </c>
      <c r="J1" s="22" t="s">
        <v>75</v>
      </c>
      <c r="K1" s="22" t="s">
        <v>76</v>
      </c>
      <c r="L1" s="22" t="s">
        <v>77</v>
      </c>
      <c r="M1" s="22" t="s">
        <v>78</v>
      </c>
      <c r="N1" s="22" t="s">
        <v>79</v>
      </c>
    </row>
    <row r="2" customFormat="false" ht="15" hidden="false" customHeight="false" outlineLevel="0" collapsed="false">
      <c r="A2" s="23" t="s">
        <v>80</v>
      </c>
      <c r="B2" s="23" t="s">
        <v>81</v>
      </c>
      <c r="C2" s="23" t="s">
        <v>82</v>
      </c>
      <c r="D2" s="23" t="s">
        <v>83</v>
      </c>
      <c r="E2" s="23" t="n">
        <v>1036.09</v>
      </c>
      <c r="F2" s="23" t="n">
        <v>4</v>
      </c>
      <c r="G2" s="23" t="n">
        <v>0.2</v>
      </c>
      <c r="H2" s="24" t="n">
        <v>45392</v>
      </c>
      <c r="I2" s="23" t="n">
        <v>331.55</v>
      </c>
      <c r="J2" s="25" t="n">
        <f aca="true">NOW()</f>
        <v>46304.470574777</v>
      </c>
      <c r="K2" s="26" t="n">
        <f aca="false">DATE(YEAR(H2),MONTH(H2),1)</f>
        <v>45383</v>
      </c>
      <c r="L2" s="27" t="n">
        <f aca="false">E2/(1-G2)</f>
        <v>1295.1125</v>
      </c>
      <c r="M2" s="27" t="n">
        <f aca="false">E2-I2</f>
        <v>704.54</v>
      </c>
      <c r="N2" s="28" t="n">
        <f aca="false">I2/E2</f>
        <v>0.320001158200543</v>
      </c>
    </row>
    <row r="3" customFormat="false" ht="15" hidden="false" customHeight="false" outlineLevel="0" collapsed="false">
      <c r="A3" s="23" t="s">
        <v>84</v>
      </c>
      <c r="B3" s="23" t="s">
        <v>85</v>
      </c>
      <c r="C3" s="23" t="s">
        <v>82</v>
      </c>
      <c r="D3" s="23" t="s">
        <v>86</v>
      </c>
      <c r="E3" s="23" t="n">
        <v>1101.28</v>
      </c>
      <c r="F3" s="23" t="n">
        <v>3</v>
      </c>
      <c r="G3" s="23" t="n">
        <v>0.2</v>
      </c>
      <c r="H3" s="24" t="n">
        <v>45393</v>
      </c>
      <c r="I3" s="23" t="n">
        <v>440.51</v>
      </c>
      <c r="J3" s="25" t="n">
        <f aca="true">NOW()</f>
        <v>46304.4705747771</v>
      </c>
      <c r="K3" s="26" t="n">
        <f aca="false">DATE(YEAR(H3),MONTH(H3),1)</f>
        <v>45383</v>
      </c>
      <c r="L3" s="27" t="n">
        <f aca="false">E3/(1-G3)</f>
        <v>1376.6</v>
      </c>
      <c r="M3" s="27" t="n">
        <f aca="false">E3-I3</f>
        <v>660.77</v>
      </c>
      <c r="N3" s="28" t="n">
        <f aca="false">I3/E3</f>
        <v>0.399998183931425</v>
      </c>
    </row>
    <row r="4" customFormat="false" ht="15" hidden="false" customHeight="false" outlineLevel="0" collapsed="false">
      <c r="A4" s="23" t="s">
        <v>87</v>
      </c>
      <c r="B4" s="23" t="s">
        <v>88</v>
      </c>
      <c r="C4" s="23" t="s">
        <v>89</v>
      </c>
      <c r="D4" s="23" t="s">
        <v>83</v>
      </c>
      <c r="E4" s="23" t="n">
        <v>713.34</v>
      </c>
      <c r="F4" s="23" t="n">
        <v>17</v>
      </c>
      <c r="G4" s="23" t="n">
        <v>0</v>
      </c>
      <c r="H4" s="24" t="n">
        <v>45396</v>
      </c>
      <c r="I4" s="23" t="n">
        <v>285.34</v>
      </c>
      <c r="J4" s="25" t="n">
        <f aca="true">NOW()</f>
        <v>46304.4705747771</v>
      </c>
      <c r="K4" s="26" t="n">
        <f aca="false">DATE(YEAR(H4),MONTH(H4),1)</f>
        <v>45383</v>
      </c>
      <c r="L4" s="27" t="n">
        <f aca="false">E4/(1-G4)</f>
        <v>713.34</v>
      </c>
      <c r="M4" s="27" t="n">
        <f aca="false">E4-I4</f>
        <v>428</v>
      </c>
      <c r="N4" s="28" t="n">
        <f aca="false">I4/E4</f>
        <v>0.40000560742423</v>
      </c>
    </row>
    <row r="5" customFormat="false" ht="15" hidden="false" customHeight="false" outlineLevel="0" collapsed="false">
      <c r="A5" s="23" t="s">
        <v>90</v>
      </c>
      <c r="B5" s="23" t="s">
        <v>85</v>
      </c>
      <c r="C5" s="23" t="s">
        <v>91</v>
      </c>
      <c r="D5" s="23" t="s">
        <v>92</v>
      </c>
      <c r="E5" s="23" t="n">
        <v>760.93</v>
      </c>
      <c r="F5" s="23" t="n">
        <v>4</v>
      </c>
      <c r="G5" s="23" t="n">
        <v>0.15</v>
      </c>
      <c r="H5" s="24" t="n">
        <v>45396</v>
      </c>
      <c r="I5" s="23" t="n">
        <v>161.7</v>
      </c>
      <c r="J5" s="25" t="n">
        <f aca="true">NOW()</f>
        <v>46304.4705747771</v>
      </c>
      <c r="K5" s="26" t="n">
        <f aca="false">DATE(YEAR(H5),MONTH(H5),1)</f>
        <v>45383</v>
      </c>
      <c r="L5" s="27" t="n">
        <f aca="false">E5/(1-G5)</f>
        <v>895.211764705882</v>
      </c>
      <c r="M5" s="27" t="n">
        <f aca="false">E5-I5</f>
        <v>599.23</v>
      </c>
      <c r="N5" s="28" t="n">
        <f aca="false">I5/E5</f>
        <v>0.212503121180661</v>
      </c>
    </row>
    <row r="6" customFormat="false" ht="15" hidden="false" customHeight="false" outlineLevel="0" collapsed="false">
      <c r="A6" s="23" t="s">
        <v>93</v>
      </c>
      <c r="B6" s="23" t="s">
        <v>94</v>
      </c>
      <c r="C6" s="23" t="s">
        <v>95</v>
      </c>
      <c r="D6" s="23" t="s">
        <v>83</v>
      </c>
      <c r="E6" s="23" t="n">
        <v>847</v>
      </c>
      <c r="F6" s="23" t="n">
        <v>12</v>
      </c>
      <c r="G6" s="23" t="n">
        <v>0.2</v>
      </c>
      <c r="H6" s="24" t="n">
        <v>45397</v>
      </c>
      <c r="I6" s="23" t="n">
        <v>271.04</v>
      </c>
      <c r="J6" s="25" t="n">
        <f aca="true">NOW()</f>
        <v>46304.4705747771</v>
      </c>
      <c r="K6" s="26" t="n">
        <f aca="false">DATE(YEAR(H6),MONTH(H6),1)</f>
        <v>45383</v>
      </c>
      <c r="L6" s="27" t="n">
        <f aca="false">E6/(1-G6)</f>
        <v>1058.75</v>
      </c>
      <c r="M6" s="27" t="n">
        <f aca="false">E6-I6</f>
        <v>575.96</v>
      </c>
      <c r="N6" s="28" t="n">
        <f aca="false">I6/E6</f>
        <v>0.32</v>
      </c>
    </row>
    <row r="7" customFormat="false" ht="15" hidden="false" customHeight="false" outlineLevel="0" collapsed="false">
      <c r="A7" s="23" t="s">
        <v>96</v>
      </c>
      <c r="B7" s="23" t="s">
        <v>97</v>
      </c>
      <c r="C7" s="23" t="s">
        <v>95</v>
      </c>
      <c r="D7" s="23" t="s">
        <v>98</v>
      </c>
      <c r="E7" s="23" t="n">
        <v>965.64</v>
      </c>
      <c r="F7" s="23" t="n">
        <v>8</v>
      </c>
      <c r="G7" s="23" t="n">
        <v>0.1</v>
      </c>
      <c r="H7" s="24" t="n">
        <v>45398</v>
      </c>
      <c r="I7" s="23" t="n">
        <v>304.18</v>
      </c>
      <c r="J7" s="25" t="n">
        <f aca="true">NOW()</f>
        <v>46304.4705747772</v>
      </c>
      <c r="K7" s="26" t="n">
        <f aca="false">DATE(YEAR(H7),MONTH(H7),1)</f>
        <v>45383</v>
      </c>
      <c r="L7" s="27" t="n">
        <f aca="false">E7/(1-G7)</f>
        <v>1072.93333333333</v>
      </c>
      <c r="M7" s="27" t="n">
        <f aca="false">E7-I7</f>
        <v>661.46</v>
      </c>
      <c r="N7" s="28" t="n">
        <f aca="false">I7/E7</f>
        <v>0.315003520980904</v>
      </c>
    </row>
    <row r="8" customFormat="false" ht="15" hidden="false" customHeight="false" outlineLevel="0" collapsed="false">
      <c r="A8" s="23" t="s">
        <v>99</v>
      </c>
      <c r="B8" s="23" t="s">
        <v>100</v>
      </c>
      <c r="C8" s="23" t="s">
        <v>82</v>
      </c>
      <c r="D8" s="23" t="s">
        <v>92</v>
      </c>
      <c r="E8" s="23" t="n">
        <v>1317.53</v>
      </c>
      <c r="F8" s="23" t="n">
        <v>12</v>
      </c>
      <c r="G8" s="23" t="n">
        <v>0.05</v>
      </c>
      <c r="H8" s="24" t="n">
        <v>45398</v>
      </c>
      <c r="I8" s="23" t="n">
        <v>312.91</v>
      </c>
      <c r="J8" s="25" t="n">
        <f aca="true">NOW()</f>
        <v>46304.4705747772</v>
      </c>
      <c r="K8" s="26" t="n">
        <f aca="false">DATE(YEAR(H8),MONTH(H8),1)</f>
        <v>45383</v>
      </c>
      <c r="L8" s="27" t="n">
        <f aca="false">E8/(1-G8)</f>
        <v>1386.87368421053</v>
      </c>
      <c r="M8" s="27" t="n">
        <f aca="false">E8-I8</f>
        <v>1004.62</v>
      </c>
      <c r="N8" s="28" t="n">
        <f aca="false">I8/E8</f>
        <v>0.2374974383885</v>
      </c>
    </row>
    <row r="9" customFormat="false" ht="15" hidden="false" customHeight="false" outlineLevel="0" collapsed="false">
      <c r="A9" s="23" t="s">
        <v>101</v>
      </c>
      <c r="B9" s="23" t="s">
        <v>102</v>
      </c>
      <c r="C9" s="23" t="s">
        <v>89</v>
      </c>
      <c r="D9" s="23" t="s">
        <v>98</v>
      </c>
      <c r="E9" s="23" t="n">
        <v>1074.47</v>
      </c>
      <c r="F9" s="23" t="n">
        <v>6</v>
      </c>
      <c r="G9" s="23" t="n">
        <v>0.2</v>
      </c>
      <c r="H9" s="24" t="n">
        <v>45401</v>
      </c>
      <c r="I9" s="23" t="n">
        <v>300.85</v>
      </c>
      <c r="J9" s="25" t="n">
        <f aca="true">NOW()</f>
        <v>46304.4705747772</v>
      </c>
      <c r="K9" s="26" t="n">
        <f aca="false">DATE(YEAR(H9),MONTH(H9),1)</f>
        <v>45383</v>
      </c>
      <c r="L9" s="27" t="n">
        <f aca="false">E9/(1-G9)</f>
        <v>1343.0875</v>
      </c>
      <c r="M9" s="27" t="n">
        <f aca="false">E9-I9</f>
        <v>773.62</v>
      </c>
      <c r="N9" s="28" t="n">
        <f aca="false">I9/E9</f>
        <v>0.279998510893743</v>
      </c>
    </row>
    <row r="10" customFormat="false" ht="15" hidden="false" customHeight="false" outlineLevel="0" collapsed="false">
      <c r="A10" s="23" t="s">
        <v>103</v>
      </c>
      <c r="B10" s="23" t="s">
        <v>104</v>
      </c>
      <c r="C10" s="23" t="s">
        <v>105</v>
      </c>
      <c r="D10" s="23" t="s">
        <v>83</v>
      </c>
      <c r="E10" s="23" t="n">
        <v>501.54</v>
      </c>
      <c r="F10" s="23" t="n">
        <v>11</v>
      </c>
      <c r="G10" s="23" t="n">
        <v>0.05</v>
      </c>
      <c r="H10" s="24" t="n">
        <v>45401</v>
      </c>
      <c r="I10" s="23" t="n">
        <v>190.59</v>
      </c>
      <c r="J10" s="25" t="n">
        <f aca="true">NOW()</f>
        <v>46304.4705747772</v>
      </c>
      <c r="K10" s="26" t="n">
        <f aca="false">DATE(YEAR(H10),MONTH(H10),1)</f>
        <v>45383</v>
      </c>
      <c r="L10" s="27" t="n">
        <f aca="false">E10/(1-G10)</f>
        <v>527.936842105263</v>
      </c>
      <c r="M10" s="27" t="n">
        <f aca="false">E10-I10</f>
        <v>310.95</v>
      </c>
      <c r="N10" s="28" t="n">
        <f aca="false">I10/E10</f>
        <v>0.38000957052279</v>
      </c>
    </row>
    <row r="11" customFormat="false" ht="15" hidden="false" customHeight="false" outlineLevel="0" collapsed="false">
      <c r="A11" s="23" t="s">
        <v>106</v>
      </c>
      <c r="B11" s="23" t="s">
        <v>107</v>
      </c>
      <c r="C11" s="23" t="s">
        <v>105</v>
      </c>
      <c r="D11" s="23" t="s">
        <v>86</v>
      </c>
      <c r="E11" s="23" t="n">
        <v>737.31</v>
      </c>
      <c r="F11" s="23" t="n">
        <v>2</v>
      </c>
      <c r="G11" s="23" t="n">
        <v>0.05</v>
      </c>
      <c r="H11" s="24" t="n">
        <v>45401</v>
      </c>
      <c r="I11" s="23" t="n">
        <v>350.22</v>
      </c>
      <c r="J11" s="25" t="n">
        <f aca="true">NOW()</f>
        <v>46304.4705747772</v>
      </c>
      <c r="K11" s="26" t="n">
        <f aca="false">DATE(YEAR(H11),MONTH(H11),1)</f>
        <v>45383</v>
      </c>
      <c r="L11" s="27" t="n">
        <f aca="false">E11/(1-G11)</f>
        <v>776.115789473684</v>
      </c>
      <c r="M11" s="27" t="n">
        <f aca="false">E11-I11</f>
        <v>387.09</v>
      </c>
      <c r="N11" s="28" t="n">
        <f aca="false">I11/E11</f>
        <v>0.474996948366359</v>
      </c>
    </row>
    <row r="12" customFormat="false" ht="15" hidden="false" customHeight="false" outlineLevel="0" collapsed="false">
      <c r="A12" s="23" t="s">
        <v>108</v>
      </c>
      <c r="B12" s="23" t="s">
        <v>109</v>
      </c>
      <c r="C12" s="23" t="s">
        <v>82</v>
      </c>
      <c r="D12" s="23" t="s">
        <v>110</v>
      </c>
      <c r="E12" s="23" t="n">
        <v>1572.82</v>
      </c>
      <c r="F12" s="23" t="n">
        <v>6</v>
      </c>
      <c r="G12" s="23" t="n">
        <v>0.05</v>
      </c>
      <c r="H12" s="24" t="n">
        <v>45402</v>
      </c>
      <c r="I12" s="23" t="n">
        <v>672.38</v>
      </c>
      <c r="J12" s="25" t="n">
        <f aca="true">NOW()</f>
        <v>46304.4705747772</v>
      </c>
      <c r="K12" s="26" t="n">
        <f aca="false">DATE(YEAR(H12),MONTH(H12),1)</f>
        <v>45383</v>
      </c>
      <c r="L12" s="27" t="n">
        <f aca="false">E12/(1-G12)</f>
        <v>1655.6</v>
      </c>
      <c r="M12" s="27" t="n">
        <f aca="false">E12-I12</f>
        <v>900.44</v>
      </c>
      <c r="N12" s="28" t="n">
        <f aca="false">I12/E12</f>
        <v>0.427499650309635</v>
      </c>
    </row>
    <row r="13" customFormat="false" ht="15" hidden="false" customHeight="false" outlineLevel="0" collapsed="false">
      <c r="A13" s="23" t="s">
        <v>108</v>
      </c>
      <c r="B13" s="23" t="s">
        <v>107</v>
      </c>
      <c r="C13" s="23" t="s">
        <v>105</v>
      </c>
      <c r="D13" s="23" t="s">
        <v>83</v>
      </c>
      <c r="E13" s="23" t="n">
        <v>1343.13</v>
      </c>
      <c r="F13" s="23" t="n">
        <v>14</v>
      </c>
      <c r="G13" s="23" t="n">
        <v>0.15</v>
      </c>
      <c r="H13" s="24" t="n">
        <v>45404</v>
      </c>
      <c r="I13" s="23" t="n">
        <v>456.66</v>
      </c>
      <c r="J13" s="25" t="n">
        <f aca="true">NOW()</f>
        <v>46304.4705747772</v>
      </c>
      <c r="K13" s="26" t="n">
        <f aca="false">DATE(YEAR(H13),MONTH(H13),1)</f>
        <v>45383</v>
      </c>
      <c r="L13" s="27" t="n">
        <f aca="false">E13/(1-G13)</f>
        <v>1580.15294117647</v>
      </c>
      <c r="M13" s="27" t="n">
        <f aca="false">E13-I13</f>
        <v>886.47</v>
      </c>
      <c r="N13" s="28" t="n">
        <f aca="false">I13/E13</f>
        <v>0.33999687297581</v>
      </c>
    </row>
    <row r="14" customFormat="false" ht="15" hidden="false" customHeight="false" outlineLevel="0" collapsed="false">
      <c r="A14" s="23" t="s">
        <v>96</v>
      </c>
      <c r="B14" s="23" t="s">
        <v>97</v>
      </c>
      <c r="C14" s="23" t="s">
        <v>105</v>
      </c>
      <c r="D14" s="23" t="s">
        <v>83</v>
      </c>
      <c r="E14" s="23" t="n">
        <v>1191.58</v>
      </c>
      <c r="F14" s="23" t="n">
        <v>14</v>
      </c>
      <c r="G14" s="23" t="n">
        <v>0.05</v>
      </c>
      <c r="H14" s="24" t="n">
        <v>45406</v>
      </c>
      <c r="I14" s="23" t="n">
        <v>452.8</v>
      </c>
      <c r="J14" s="25" t="n">
        <f aca="true">NOW()</f>
        <v>46304.4705747772</v>
      </c>
      <c r="K14" s="26" t="n">
        <f aca="false">DATE(YEAR(H14),MONTH(H14),1)</f>
        <v>45383</v>
      </c>
      <c r="L14" s="27" t="n">
        <f aca="false">E14/(1-G14)</f>
        <v>1254.29473684211</v>
      </c>
      <c r="M14" s="27" t="n">
        <f aca="false">E14-I14</f>
        <v>738.78</v>
      </c>
      <c r="N14" s="28" t="n">
        <f aca="false">I14/E14</f>
        <v>0.379999664311251</v>
      </c>
    </row>
    <row r="15" customFormat="false" ht="15" hidden="false" customHeight="false" outlineLevel="0" collapsed="false">
      <c r="A15" s="23" t="s">
        <v>111</v>
      </c>
      <c r="B15" s="23" t="s">
        <v>85</v>
      </c>
      <c r="C15" s="23" t="s">
        <v>82</v>
      </c>
      <c r="D15" s="23" t="s">
        <v>98</v>
      </c>
      <c r="E15" s="23" t="n">
        <v>822.28</v>
      </c>
      <c r="F15" s="23" t="n">
        <v>7</v>
      </c>
      <c r="G15" s="23" t="n">
        <v>0.05</v>
      </c>
      <c r="H15" s="24" t="n">
        <v>45406</v>
      </c>
      <c r="I15" s="23" t="n">
        <v>273.41</v>
      </c>
      <c r="J15" s="25" t="n">
        <f aca="true">NOW()</f>
        <v>46304.4705747772</v>
      </c>
      <c r="K15" s="26" t="n">
        <f aca="false">DATE(YEAR(H15),MONTH(H15),1)</f>
        <v>45383</v>
      </c>
      <c r="L15" s="27" t="n">
        <f aca="false">E15/(1-G15)</f>
        <v>865.557894736842</v>
      </c>
      <c r="M15" s="27" t="n">
        <f aca="false">E15-I15</f>
        <v>548.87</v>
      </c>
      <c r="N15" s="28" t="n">
        <f aca="false">I15/E15</f>
        <v>0.332502310648441</v>
      </c>
    </row>
    <row r="16" customFormat="false" ht="15" hidden="false" customHeight="false" outlineLevel="0" collapsed="false">
      <c r="A16" s="23" t="s">
        <v>112</v>
      </c>
      <c r="B16" s="23" t="s">
        <v>113</v>
      </c>
      <c r="C16" s="23" t="s">
        <v>95</v>
      </c>
      <c r="D16" s="23" t="s">
        <v>98</v>
      </c>
      <c r="E16" s="23" t="n">
        <v>521.67</v>
      </c>
      <c r="F16" s="23" t="n">
        <v>15</v>
      </c>
      <c r="G16" s="23" t="n">
        <v>0.15</v>
      </c>
      <c r="H16" s="24" t="n">
        <v>45409</v>
      </c>
      <c r="I16" s="23" t="n">
        <v>155.2</v>
      </c>
      <c r="J16" s="25" t="n">
        <f aca="true">NOW()</f>
        <v>46304.4705747772</v>
      </c>
      <c r="K16" s="26" t="n">
        <f aca="false">DATE(YEAR(H16),MONTH(H16),1)</f>
        <v>45383</v>
      </c>
      <c r="L16" s="27" t="n">
        <f aca="false">E16/(1-G16)</f>
        <v>613.729411764706</v>
      </c>
      <c r="M16" s="27" t="n">
        <f aca="false">E16-I16</f>
        <v>366.47</v>
      </c>
      <c r="N16" s="28" t="n">
        <f aca="false">I16/E16</f>
        <v>0.297506086223091</v>
      </c>
    </row>
    <row r="17" customFormat="false" ht="15" hidden="false" customHeight="false" outlineLevel="0" collapsed="false">
      <c r="A17" s="23" t="s">
        <v>90</v>
      </c>
      <c r="B17" s="23" t="s">
        <v>114</v>
      </c>
      <c r="C17" s="23" t="s">
        <v>91</v>
      </c>
      <c r="D17" s="23" t="s">
        <v>92</v>
      </c>
      <c r="E17" s="23" t="n">
        <v>1502.93</v>
      </c>
      <c r="F17" s="23" t="n">
        <v>14</v>
      </c>
      <c r="G17" s="23" t="n">
        <v>0.2</v>
      </c>
      <c r="H17" s="24" t="n">
        <v>45410</v>
      </c>
      <c r="I17" s="23" t="n">
        <v>300.59</v>
      </c>
      <c r="J17" s="25" t="n">
        <f aca="true">NOW()</f>
        <v>46304.4705747772</v>
      </c>
      <c r="K17" s="26" t="n">
        <f aca="false">DATE(YEAR(H17),MONTH(H17),1)</f>
        <v>45383</v>
      </c>
      <c r="L17" s="27" t="n">
        <f aca="false">E17/(1-G17)</f>
        <v>1878.6625</v>
      </c>
      <c r="M17" s="27" t="n">
        <f aca="false">E17-I17</f>
        <v>1202.34</v>
      </c>
      <c r="N17" s="28" t="n">
        <f aca="false">I17/E17</f>
        <v>0.200002661467933</v>
      </c>
    </row>
    <row r="18" customFormat="false" ht="15" hidden="false" customHeight="false" outlineLevel="0" collapsed="false">
      <c r="A18" s="23" t="s">
        <v>115</v>
      </c>
      <c r="B18" s="23" t="s">
        <v>85</v>
      </c>
      <c r="C18" s="23" t="s">
        <v>91</v>
      </c>
      <c r="D18" s="23" t="s">
        <v>83</v>
      </c>
      <c r="E18" s="23" t="n">
        <v>877.58</v>
      </c>
      <c r="F18" s="23" t="n">
        <v>10</v>
      </c>
      <c r="G18" s="23" t="n">
        <v>0.15</v>
      </c>
      <c r="H18" s="24" t="n">
        <v>45411</v>
      </c>
      <c r="I18" s="23" t="n">
        <v>298.38</v>
      </c>
      <c r="J18" s="25" t="n">
        <f aca="true">NOW()</f>
        <v>46304.4705747772</v>
      </c>
      <c r="K18" s="26" t="n">
        <f aca="false">DATE(YEAR(H18),MONTH(H18),1)</f>
        <v>45383</v>
      </c>
      <c r="L18" s="27" t="n">
        <f aca="false">E18/(1-G18)</f>
        <v>1032.44705882353</v>
      </c>
      <c r="M18" s="27" t="n">
        <f aca="false">E18-I18</f>
        <v>579.2</v>
      </c>
      <c r="N18" s="28" t="n">
        <f aca="false">I18/E18</f>
        <v>0.340003190592311</v>
      </c>
    </row>
    <row r="19" customFormat="false" ht="15" hidden="false" customHeight="false" outlineLevel="0" collapsed="false">
      <c r="A19" s="23" t="s">
        <v>99</v>
      </c>
      <c r="B19" s="23" t="s">
        <v>116</v>
      </c>
      <c r="C19" s="23" t="s">
        <v>82</v>
      </c>
      <c r="D19" s="23" t="s">
        <v>83</v>
      </c>
      <c r="E19" s="23" t="n">
        <v>636.7</v>
      </c>
      <c r="F19" s="23" t="n">
        <v>4</v>
      </c>
      <c r="G19" s="23" t="n">
        <v>0.2</v>
      </c>
      <c r="H19" s="24" t="n">
        <v>45411</v>
      </c>
      <c r="I19" s="23" t="n">
        <v>203.74</v>
      </c>
      <c r="J19" s="25" t="n">
        <f aca="true">NOW()</f>
        <v>46304.4705747772</v>
      </c>
      <c r="K19" s="26" t="n">
        <f aca="false">DATE(YEAR(H19),MONTH(H19),1)</f>
        <v>45383</v>
      </c>
      <c r="L19" s="27" t="n">
        <f aca="false">E19/(1-G19)</f>
        <v>795.875</v>
      </c>
      <c r="M19" s="27" t="n">
        <f aca="false">E19-I19</f>
        <v>432.96</v>
      </c>
      <c r="N19" s="28" t="n">
        <f aca="false">I19/E19</f>
        <v>0.319993717606408</v>
      </c>
    </row>
    <row r="20" customFormat="false" ht="15" hidden="false" customHeight="false" outlineLevel="0" collapsed="false">
      <c r="A20" s="23" t="s">
        <v>117</v>
      </c>
      <c r="B20" s="23" t="s">
        <v>118</v>
      </c>
      <c r="C20" s="23" t="s">
        <v>82</v>
      </c>
      <c r="D20" s="23" t="s">
        <v>83</v>
      </c>
      <c r="E20" s="23" t="n">
        <v>1506.14</v>
      </c>
      <c r="F20" s="23" t="n">
        <v>13</v>
      </c>
      <c r="G20" s="23" t="n">
        <v>0.2</v>
      </c>
      <c r="H20" s="24" t="n">
        <v>45412</v>
      </c>
      <c r="I20" s="23" t="n">
        <v>481.96</v>
      </c>
      <c r="J20" s="25" t="n">
        <f aca="true">NOW()</f>
        <v>46304.4705747772</v>
      </c>
      <c r="K20" s="26" t="n">
        <f aca="false">DATE(YEAR(H20),MONTH(H20),1)</f>
        <v>45383</v>
      </c>
      <c r="L20" s="27" t="n">
        <f aca="false">E20/(1-G20)</f>
        <v>1882.675</v>
      </c>
      <c r="M20" s="27" t="n">
        <f aca="false">E20-I20</f>
        <v>1024.18</v>
      </c>
      <c r="N20" s="28" t="n">
        <f aca="false">I20/E20</f>
        <v>0.319996813045268</v>
      </c>
    </row>
    <row r="21" customFormat="false" ht="15" hidden="false" customHeight="false" outlineLevel="0" collapsed="false">
      <c r="A21" s="23" t="s">
        <v>101</v>
      </c>
      <c r="B21" s="23" t="s">
        <v>102</v>
      </c>
      <c r="C21" s="23" t="s">
        <v>105</v>
      </c>
      <c r="D21" s="23" t="s">
        <v>92</v>
      </c>
      <c r="E21" s="23" t="n">
        <v>645.02</v>
      </c>
      <c r="F21" s="23" t="n">
        <v>4</v>
      </c>
      <c r="G21" s="23" t="n">
        <v>0</v>
      </c>
      <c r="H21" s="24" t="n">
        <v>45414</v>
      </c>
      <c r="I21" s="23" t="n">
        <v>161.26</v>
      </c>
      <c r="J21" s="25" t="n">
        <f aca="true">NOW()</f>
        <v>46304.4705747772</v>
      </c>
      <c r="K21" s="26" t="n">
        <f aca="false">DATE(YEAR(H21),MONTH(H21),1)</f>
        <v>45413</v>
      </c>
      <c r="L21" s="27" t="n">
        <f aca="false">E21/(1-G21)</f>
        <v>645.02</v>
      </c>
      <c r="M21" s="27" t="n">
        <f aca="false">E21-I21</f>
        <v>483.76</v>
      </c>
      <c r="N21" s="28" t="n">
        <f aca="false">I21/E21</f>
        <v>0.250007751697622</v>
      </c>
    </row>
    <row r="22" customFormat="false" ht="15" hidden="false" customHeight="false" outlineLevel="0" collapsed="false">
      <c r="A22" s="23" t="s">
        <v>96</v>
      </c>
      <c r="B22" s="23" t="s">
        <v>119</v>
      </c>
      <c r="C22" s="23" t="s">
        <v>91</v>
      </c>
      <c r="D22" s="23" t="s">
        <v>86</v>
      </c>
      <c r="E22" s="23" t="n">
        <v>953.3</v>
      </c>
      <c r="F22" s="23" t="n">
        <v>11</v>
      </c>
      <c r="G22" s="23" t="n">
        <v>0</v>
      </c>
      <c r="H22" s="24" t="n">
        <v>45415</v>
      </c>
      <c r="I22" s="23" t="n">
        <v>476.65</v>
      </c>
      <c r="J22" s="25" t="n">
        <f aca="true">NOW()</f>
        <v>46304.4705747772</v>
      </c>
      <c r="K22" s="26" t="n">
        <f aca="false">DATE(YEAR(H22),MONTH(H22),1)</f>
        <v>45413</v>
      </c>
      <c r="L22" s="27" t="n">
        <f aca="false">E22/(1-G22)</f>
        <v>953.3</v>
      </c>
      <c r="M22" s="27" t="n">
        <f aca="false">E22-I22</f>
        <v>476.65</v>
      </c>
      <c r="N22" s="28" t="n">
        <f aca="false">I22/E22</f>
        <v>0.5</v>
      </c>
    </row>
    <row r="23" customFormat="false" ht="15" hidden="false" customHeight="false" outlineLevel="0" collapsed="false">
      <c r="A23" s="23" t="s">
        <v>120</v>
      </c>
      <c r="B23" s="23" t="s">
        <v>85</v>
      </c>
      <c r="C23" s="23" t="s">
        <v>95</v>
      </c>
      <c r="D23" s="23" t="s">
        <v>92</v>
      </c>
      <c r="E23" s="23" t="n">
        <v>388.56</v>
      </c>
      <c r="F23" s="23" t="n">
        <v>14</v>
      </c>
      <c r="G23" s="23" t="n">
        <v>0.15</v>
      </c>
      <c r="H23" s="24" t="n">
        <v>45416</v>
      </c>
      <c r="I23" s="23" t="n">
        <v>82.57</v>
      </c>
      <c r="J23" s="25" t="n">
        <f aca="true">NOW()</f>
        <v>46304.4705747772</v>
      </c>
      <c r="K23" s="26" t="n">
        <f aca="false">DATE(YEAR(H23),MONTH(H23),1)</f>
        <v>45413</v>
      </c>
      <c r="L23" s="27" t="n">
        <f aca="false">E23/(1-G23)</f>
        <v>457.129411764706</v>
      </c>
      <c r="M23" s="27" t="n">
        <f aca="false">E23-I23</f>
        <v>305.99</v>
      </c>
      <c r="N23" s="28" t="n">
        <f aca="false">I23/E23</f>
        <v>0.212502573605106</v>
      </c>
    </row>
    <row r="24" customFormat="false" ht="15" hidden="false" customHeight="false" outlineLevel="0" collapsed="false">
      <c r="A24" s="23" t="s">
        <v>80</v>
      </c>
      <c r="B24" s="23" t="s">
        <v>102</v>
      </c>
      <c r="C24" s="23" t="s">
        <v>82</v>
      </c>
      <c r="D24" s="23" t="s">
        <v>83</v>
      </c>
      <c r="E24" s="23" t="n">
        <v>743.17</v>
      </c>
      <c r="F24" s="23" t="n">
        <v>9</v>
      </c>
      <c r="G24" s="23" t="n">
        <v>0</v>
      </c>
      <c r="H24" s="24" t="n">
        <v>45416</v>
      </c>
      <c r="I24" s="23" t="n">
        <v>297.27</v>
      </c>
      <c r="J24" s="25" t="n">
        <f aca="true">NOW()</f>
        <v>46304.4705747772</v>
      </c>
      <c r="K24" s="26" t="n">
        <f aca="false">DATE(YEAR(H24),MONTH(H24),1)</f>
        <v>45413</v>
      </c>
      <c r="L24" s="27" t="n">
        <f aca="false">E24/(1-G24)</f>
        <v>743.17</v>
      </c>
      <c r="M24" s="27" t="n">
        <f aca="false">E24-I24</f>
        <v>445.9</v>
      </c>
      <c r="N24" s="28" t="n">
        <f aca="false">I24/E24</f>
        <v>0.400002691174294</v>
      </c>
    </row>
    <row r="25" customFormat="false" ht="15" hidden="false" customHeight="false" outlineLevel="0" collapsed="false">
      <c r="A25" s="23" t="s">
        <v>111</v>
      </c>
      <c r="B25" s="23" t="s">
        <v>102</v>
      </c>
      <c r="C25" s="23" t="s">
        <v>105</v>
      </c>
      <c r="D25" s="23" t="s">
        <v>92</v>
      </c>
      <c r="E25" s="23" t="n">
        <v>706.37</v>
      </c>
      <c r="F25" s="23" t="n">
        <v>6</v>
      </c>
      <c r="G25" s="23" t="n">
        <v>0</v>
      </c>
      <c r="H25" s="24" t="n">
        <v>45416</v>
      </c>
      <c r="I25" s="23" t="n">
        <v>176.59</v>
      </c>
      <c r="J25" s="25" t="n">
        <f aca="true">NOW()</f>
        <v>46304.4705747772</v>
      </c>
      <c r="K25" s="26" t="n">
        <f aca="false">DATE(YEAR(H25),MONTH(H25),1)</f>
        <v>45413</v>
      </c>
      <c r="L25" s="27" t="n">
        <f aca="false">E25/(1-G25)</f>
        <v>706.37</v>
      </c>
      <c r="M25" s="27" t="n">
        <f aca="false">E25-I25</f>
        <v>529.78</v>
      </c>
      <c r="N25" s="28" t="n">
        <f aca="false">I25/E25</f>
        <v>0.249996460778346</v>
      </c>
    </row>
    <row r="26" customFormat="false" ht="15" hidden="false" customHeight="false" outlineLevel="0" collapsed="false">
      <c r="A26" s="23" t="s">
        <v>84</v>
      </c>
      <c r="B26" s="23" t="s">
        <v>102</v>
      </c>
      <c r="C26" s="23" t="s">
        <v>105</v>
      </c>
      <c r="D26" s="23" t="s">
        <v>110</v>
      </c>
      <c r="E26" s="23" t="n">
        <v>925.31</v>
      </c>
      <c r="F26" s="23" t="n">
        <v>8</v>
      </c>
      <c r="G26" s="23" t="n">
        <v>0.1</v>
      </c>
      <c r="H26" s="24" t="n">
        <v>45418</v>
      </c>
      <c r="I26" s="23" t="n">
        <v>374.75</v>
      </c>
      <c r="J26" s="25" t="n">
        <f aca="true">NOW()</f>
        <v>46304.4705747772</v>
      </c>
      <c r="K26" s="26" t="n">
        <f aca="false">DATE(YEAR(H26),MONTH(H26),1)</f>
        <v>45413</v>
      </c>
      <c r="L26" s="27" t="n">
        <f aca="false">E26/(1-G26)</f>
        <v>1028.12222222222</v>
      </c>
      <c r="M26" s="27" t="n">
        <f aca="false">E26-I26</f>
        <v>550.56</v>
      </c>
      <c r="N26" s="28" t="n">
        <f aca="false">I26/E26</f>
        <v>0.404999405604608</v>
      </c>
    </row>
    <row r="27" customFormat="false" ht="15" hidden="false" customHeight="false" outlineLevel="0" collapsed="false">
      <c r="A27" s="23" t="s">
        <v>106</v>
      </c>
      <c r="B27" s="23" t="s">
        <v>121</v>
      </c>
      <c r="C27" s="23" t="s">
        <v>91</v>
      </c>
      <c r="D27" s="23" t="s">
        <v>92</v>
      </c>
      <c r="E27" s="23" t="n">
        <v>1173.12</v>
      </c>
      <c r="F27" s="23" t="n">
        <v>18</v>
      </c>
      <c r="G27" s="23" t="n">
        <v>0</v>
      </c>
      <c r="H27" s="24" t="n">
        <v>45418</v>
      </c>
      <c r="I27" s="23" t="n">
        <v>293.28</v>
      </c>
      <c r="J27" s="25" t="n">
        <f aca="true">NOW()</f>
        <v>46304.4705747772</v>
      </c>
      <c r="K27" s="26" t="n">
        <f aca="false">DATE(YEAR(H27),MONTH(H27),1)</f>
        <v>45413</v>
      </c>
      <c r="L27" s="27" t="n">
        <f aca="false">E27/(1-G27)</f>
        <v>1173.12</v>
      </c>
      <c r="M27" s="27" t="n">
        <f aca="false">E27-I27</f>
        <v>879.84</v>
      </c>
      <c r="N27" s="28" t="n">
        <f aca="false">I27/E27</f>
        <v>0.25</v>
      </c>
    </row>
    <row r="28" customFormat="false" ht="15" hidden="false" customHeight="false" outlineLevel="0" collapsed="false">
      <c r="A28" s="23" t="s">
        <v>93</v>
      </c>
      <c r="B28" s="23" t="s">
        <v>122</v>
      </c>
      <c r="C28" s="23" t="s">
        <v>95</v>
      </c>
      <c r="D28" s="23" t="s">
        <v>98</v>
      </c>
      <c r="E28" s="23" t="n">
        <v>675.54</v>
      </c>
      <c r="F28" s="23" t="n">
        <v>17</v>
      </c>
      <c r="G28" s="23" t="n">
        <v>0</v>
      </c>
      <c r="H28" s="24" t="n">
        <v>45420</v>
      </c>
      <c r="I28" s="23" t="n">
        <v>236.44</v>
      </c>
      <c r="J28" s="25" t="n">
        <f aca="true">NOW()</f>
        <v>46304.4705747772</v>
      </c>
      <c r="K28" s="26" t="n">
        <f aca="false">DATE(YEAR(H28),MONTH(H28),1)</f>
        <v>45413</v>
      </c>
      <c r="L28" s="27" t="n">
        <f aca="false">E28/(1-G28)</f>
        <v>675.54</v>
      </c>
      <c r="M28" s="27" t="n">
        <f aca="false">E28-I28</f>
        <v>439.1</v>
      </c>
      <c r="N28" s="28" t="n">
        <f aca="false">I28/E28</f>
        <v>0.350001480297244</v>
      </c>
    </row>
    <row r="29" customFormat="false" ht="15" hidden="false" customHeight="false" outlineLevel="0" collapsed="false">
      <c r="A29" s="23" t="s">
        <v>96</v>
      </c>
      <c r="B29" s="23" t="s">
        <v>85</v>
      </c>
      <c r="C29" s="23" t="s">
        <v>105</v>
      </c>
      <c r="D29" s="23" t="s">
        <v>83</v>
      </c>
      <c r="E29" s="23" t="n">
        <v>939.09</v>
      </c>
      <c r="F29" s="23" t="n">
        <v>2</v>
      </c>
      <c r="G29" s="23" t="n">
        <v>0.05</v>
      </c>
      <c r="H29" s="24" t="n">
        <v>45422</v>
      </c>
      <c r="I29" s="23" t="n">
        <v>356.85</v>
      </c>
      <c r="J29" s="25" t="n">
        <f aca="true">NOW()</f>
        <v>46304.4705747772</v>
      </c>
      <c r="K29" s="26" t="n">
        <f aca="false">DATE(YEAR(H29),MONTH(H29),1)</f>
        <v>45413</v>
      </c>
      <c r="L29" s="27" t="n">
        <f aca="false">E29/(1-G29)</f>
        <v>988.515789473684</v>
      </c>
      <c r="M29" s="27" t="n">
        <f aca="false">E29-I29</f>
        <v>582.24</v>
      </c>
      <c r="N29" s="28" t="n">
        <f aca="false">I29/E29</f>
        <v>0.379995527585216</v>
      </c>
    </row>
    <row r="30" customFormat="false" ht="15" hidden="false" customHeight="false" outlineLevel="0" collapsed="false">
      <c r="A30" s="23" t="s">
        <v>123</v>
      </c>
      <c r="B30" s="23" t="s">
        <v>124</v>
      </c>
      <c r="C30" s="23" t="s">
        <v>89</v>
      </c>
      <c r="D30" s="23" t="s">
        <v>110</v>
      </c>
      <c r="E30" s="23" t="n">
        <v>983.34</v>
      </c>
      <c r="F30" s="23" t="n">
        <v>19</v>
      </c>
      <c r="G30" s="23" t="n">
        <v>0.1</v>
      </c>
      <c r="H30" s="24" t="n">
        <v>45426</v>
      </c>
      <c r="I30" s="23" t="n">
        <v>398.25</v>
      </c>
      <c r="J30" s="25" t="n">
        <f aca="true">NOW()</f>
        <v>46304.4705747772</v>
      </c>
      <c r="K30" s="26" t="n">
        <f aca="false">DATE(YEAR(H30),MONTH(H30),1)</f>
        <v>45413</v>
      </c>
      <c r="L30" s="27" t="n">
        <f aca="false">E30/(1-G30)</f>
        <v>1092.6</v>
      </c>
      <c r="M30" s="27" t="n">
        <f aca="false">E30-I30</f>
        <v>585.09</v>
      </c>
      <c r="N30" s="28" t="n">
        <f aca="false">I30/E30</f>
        <v>0.404997254255903</v>
      </c>
    </row>
    <row r="31" customFormat="false" ht="15" hidden="false" customHeight="false" outlineLevel="0" collapsed="false">
      <c r="A31" s="23" t="s">
        <v>123</v>
      </c>
      <c r="B31" s="23" t="s">
        <v>94</v>
      </c>
      <c r="C31" s="23" t="s">
        <v>91</v>
      </c>
      <c r="D31" s="23" t="s">
        <v>92</v>
      </c>
      <c r="E31" s="23" t="n">
        <v>801.21</v>
      </c>
      <c r="F31" s="23" t="n">
        <v>3</v>
      </c>
      <c r="G31" s="23" t="n">
        <v>0.2</v>
      </c>
      <c r="H31" s="24" t="n">
        <v>45426</v>
      </c>
      <c r="I31" s="23" t="n">
        <v>160.24</v>
      </c>
      <c r="J31" s="25" t="n">
        <f aca="true">NOW()</f>
        <v>46304.4705747772</v>
      </c>
      <c r="K31" s="26" t="n">
        <f aca="false">DATE(YEAR(H31),MONTH(H31),1)</f>
        <v>45413</v>
      </c>
      <c r="L31" s="27" t="n">
        <f aca="false">E31/(1-G31)</f>
        <v>1001.5125</v>
      </c>
      <c r="M31" s="27" t="n">
        <f aca="false">E31-I31</f>
        <v>640.97</v>
      </c>
      <c r="N31" s="28" t="n">
        <f aca="false">I31/E31</f>
        <v>0.19999750377554</v>
      </c>
    </row>
    <row r="32" customFormat="false" ht="15" hidden="false" customHeight="false" outlineLevel="0" collapsed="false">
      <c r="A32" s="23" t="s">
        <v>125</v>
      </c>
      <c r="B32" s="23" t="s">
        <v>126</v>
      </c>
      <c r="C32" s="23" t="s">
        <v>95</v>
      </c>
      <c r="D32" s="23" t="s">
        <v>92</v>
      </c>
      <c r="E32" s="23" t="n">
        <v>1450.71</v>
      </c>
      <c r="F32" s="23" t="n">
        <v>5</v>
      </c>
      <c r="G32" s="23" t="n">
        <v>0.1</v>
      </c>
      <c r="H32" s="24" t="n">
        <v>45427</v>
      </c>
      <c r="I32" s="23" t="n">
        <v>326.41</v>
      </c>
      <c r="J32" s="25" t="n">
        <f aca="true">NOW()</f>
        <v>46304.4705747772</v>
      </c>
      <c r="K32" s="26" t="n">
        <f aca="false">DATE(YEAR(H32),MONTH(H32),1)</f>
        <v>45413</v>
      </c>
      <c r="L32" s="27" t="n">
        <f aca="false">E32/(1-G32)</f>
        <v>1611.9</v>
      </c>
      <c r="M32" s="27" t="n">
        <f aca="false">E32-I32</f>
        <v>1124.3</v>
      </c>
      <c r="N32" s="28" t="n">
        <f aca="false">I32/E32</f>
        <v>0.225000172329411</v>
      </c>
    </row>
    <row r="33" customFormat="false" ht="15" hidden="false" customHeight="false" outlineLevel="0" collapsed="false">
      <c r="A33" s="23" t="s">
        <v>120</v>
      </c>
      <c r="B33" s="23" t="s">
        <v>127</v>
      </c>
      <c r="C33" s="23" t="s">
        <v>105</v>
      </c>
      <c r="D33" s="23" t="s">
        <v>83</v>
      </c>
      <c r="E33" s="23" t="n">
        <v>1023.21</v>
      </c>
      <c r="F33" s="23" t="n">
        <v>18</v>
      </c>
      <c r="G33" s="23" t="n">
        <v>0.05</v>
      </c>
      <c r="H33" s="24" t="n">
        <v>45428</v>
      </c>
      <c r="I33" s="23" t="n">
        <v>388.82</v>
      </c>
      <c r="J33" s="25" t="n">
        <f aca="true">NOW()</f>
        <v>46304.4705747772</v>
      </c>
      <c r="K33" s="26" t="n">
        <f aca="false">DATE(YEAR(H33),MONTH(H33),1)</f>
        <v>45413</v>
      </c>
      <c r="L33" s="27" t="n">
        <f aca="false">E33/(1-G33)</f>
        <v>1077.06315789474</v>
      </c>
      <c r="M33" s="27" t="n">
        <f aca="false">E33-I33</f>
        <v>634.39</v>
      </c>
      <c r="N33" s="28" t="n">
        <f aca="false">I33/E33</f>
        <v>0.380000195463297</v>
      </c>
    </row>
    <row r="34" customFormat="false" ht="15" hidden="false" customHeight="false" outlineLevel="0" collapsed="false">
      <c r="A34" s="23" t="s">
        <v>99</v>
      </c>
      <c r="B34" s="23" t="s">
        <v>118</v>
      </c>
      <c r="C34" s="23" t="s">
        <v>82</v>
      </c>
      <c r="D34" s="23" t="s">
        <v>98</v>
      </c>
      <c r="E34" s="23" t="n">
        <v>853.72</v>
      </c>
      <c r="F34" s="23" t="n">
        <v>5</v>
      </c>
      <c r="G34" s="23" t="n">
        <v>0.15</v>
      </c>
      <c r="H34" s="24" t="n">
        <v>45428</v>
      </c>
      <c r="I34" s="23" t="n">
        <v>253.98</v>
      </c>
      <c r="J34" s="25" t="n">
        <f aca="true">NOW()</f>
        <v>46304.4705747772</v>
      </c>
      <c r="K34" s="26" t="n">
        <f aca="false">DATE(YEAR(H34),MONTH(H34),1)</f>
        <v>45413</v>
      </c>
      <c r="L34" s="27" t="n">
        <f aca="false">E34/(1-G34)</f>
        <v>1004.37647058824</v>
      </c>
      <c r="M34" s="27" t="n">
        <f aca="false">E34-I34</f>
        <v>599.74</v>
      </c>
      <c r="N34" s="28" t="n">
        <f aca="false">I34/E34</f>
        <v>0.297498008714801</v>
      </c>
    </row>
    <row r="35" customFormat="false" ht="15" hidden="false" customHeight="false" outlineLevel="0" collapsed="false">
      <c r="A35" s="23" t="s">
        <v>128</v>
      </c>
      <c r="B35" s="23" t="s">
        <v>114</v>
      </c>
      <c r="C35" s="23" t="s">
        <v>91</v>
      </c>
      <c r="D35" s="23" t="s">
        <v>92</v>
      </c>
      <c r="E35" s="23" t="n">
        <v>967.89</v>
      </c>
      <c r="F35" s="23" t="n">
        <v>10</v>
      </c>
      <c r="G35" s="23" t="n">
        <v>0.1</v>
      </c>
      <c r="H35" s="24" t="n">
        <v>45429</v>
      </c>
      <c r="I35" s="23" t="n">
        <v>217.78</v>
      </c>
      <c r="J35" s="25" t="n">
        <f aca="true">NOW()</f>
        <v>46304.4705747772</v>
      </c>
      <c r="K35" s="26" t="n">
        <f aca="false">DATE(YEAR(H35),MONTH(H35),1)</f>
        <v>45413</v>
      </c>
      <c r="L35" s="27" t="n">
        <f aca="false">E35/(1-G35)</f>
        <v>1075.43333333333</v>
      </c>
      <c r="M35" s="27" t="n">
        <f aca="false">E35-I35</f>
        <v>750.11</v>
      </c>
      <c r="N35" s="28" t="n">
        <f aca="false">I35/E35</f>
        <v>0.225004907582473</v>
      </c>
    </row>
    <row r="36" customFormat="false" ht="15" hidden="false" customHeight="false" outlineLevel="0" collapsed="false">
      <c r="A36" s="23" t="s">
        <v>129</v>
      </c>
      <c r="B36" s="23" t="s">
        <v>124</v>
      </c>
      <c r="C36" s="23" t="s">
        <v>95</v>
      </c>
      <c r="D36" s="23" t="s">
        <v>110</v>
      </c>
      <c r="E36" s="23" t="n">
        <v>1200.9</v>
      </c>
      <c r="F36" s="23" t="n">
        <v>14</v>
      </c>
      <c r="G36" s="23" t="n">
        <v>0.05</v>
      </c>
      <c r="H36" s="24" t="n">
        <v>45429</v>
      </c>
      <c r="I36" s="23" t="n">
        <v>513.38</v>
      </c>
      <c r="J36" s="25" t="n">
        <f aca="true">NOW()</f>
        <v>46304.4705747772</v>
      </c>
      <c r="K36" s="26" t="n">
        <f aca="false">DATE(YEAR(H36),MONTH(H36),1)</f>
        <v>45413</v>
      </c>
      <c r="L36" s="27" t="n">
        <f aca="false">E36/(1-G36)</f>
        <v>1264.10526315789</v>
      </c>
      <c r="M36" s="27" t="n">
        <f aca="false">E36-I36</f>
        <v>687.52</v>
      </c>
      <c r="N36" s="28" t="n">
        <f aca="false">I36/E36</f>
        <v>0.427496044633192</v>
      </c>
    </row>
    <row r="37" customFormat="false" ht="15" hidden="false" customHeight="false" outlineLevel="0" collapsed="false">
      <c r="A37" s="23" t="s">
        <v>84</v>
      </c>
      <c r="B37" s="23" t="s">
        <v>97</v>
      </c>
      <c r="C37" s="23" t="s">
        <v>82</v>
      </c>
      <c r="D37" s="23" t="s">
        <v>83</v>
      </c>
      <c r="E37" s="23" t="n">
        <v>472.38</v>
      </c>
      <c r="F37" s="23" t="n">
        <v>12</v>
      </c>
      <c r="G37" s="23" t="n">
        <v>0.2</v>
      </c>
      <c r="H37" s="24" t="n">
        <v>45429</v>
      </c>
      <c r="I37" s="23" t="n">
        <v>151.16</v>
      </c>
      <c r="J37" s="25" t="n">
        <f aca="true">NOW()</f>
        <v>46304.4705747772</v>
      </c>
      <c r="K37" s="26" t="n">
        <f aca="false">DATE(YEAR(H37),MONTH(H37),1)</f>
        <v>45413</v>
      </c>
      <c r="L37" s="27" t="n">
        <f aca="false">E37/(1-G37)</f>
        <v>590.475</v>
      </c>
      <c r="M37" s="27" t="n">
        <f aca="false">E37-I37</f>
        <v>321.22</v>
      </c>
      <c r="N37" s="28" t="n">
        <f aca="false">I37/E37</f>
        <v>0.319996612896397</v>
      </c>
    </row>
    <row r="38" customFormat="false" ht="15" hidden="false" customHeight="false" outlineLevel="0" collapsed="false">
      <c r="A38" s="23" t="s">
        <v>80</v>
      </c>
      <c r="B38" s="23" t="s">
        <v>126</v>
      </c>
      <c r="C38" s="23" t="s">
        <v>89</v>
      </c>
      <c r="D38" s="23" t="s">
        <v>110</v>
      </c>
      <c r="E38" s="23" t="n">
        <v>840.92</v>
      </c>
      <c r="F38" s="23" t="n">
        <v>9</v>
      </c>
      <c r="G38" s="23" t="n">
        <v>0.05</v>
      </c>
      <c r="H38" s="24" t="n">
        <v>45429</v>
      </c>
      <c r="I38" s="23" t="n">
        <v>359.49</v>
      </c>
      <c r="J38" s="25" t="n">
        <f aca="true">NOW()</f>
        <v>46304.4705747772</v>
      </c>
      <c r="K38" s="26" t="n">
        <f aca="false">DATE(YEAR(H38),MONTH(H38),1)</f>
        <v>45413</v>
      </c>
      <c r="L38" s="27" t="n">
        <f aca="false">E38/(1-G38)</f>
        <v>885.178947368421</v>
      </c>
      <c r="M38" s="27" t="n">
        <f aca="false">E38-I38</f>
        <v>481.43</v>
      </c>
      <c r="N38" s="28" t="n">
        <f aca="false">I38/E38</f>
        <v>0.427496075726585</v>
      </c>
    </row>
    <row r="39" customFormat="false" ht="15" hidden="false" customHeight="false" outlineLevel="0" collapsed="false">
      <c r="A39" s="23" t="s">
        <v>123</v>
      </c>
      <c r="B39" s="23" t="s">
        <v>130</v>
      </c>
      <c r="C39" s="23" t="s">
        <v>105</v>
      </c>
      <c r="D39" s="23" t="s">
        <v>98</v>
      </c>
      <c r="E39" s="23" t="n">
        <v>1410.06</v>
      </c>
      <c r="F39" s="23" t="n">
        <v>11</v>
      </c>
      <c r="G39" s="23" t="n">
        <v>0.05</v>
      </c>
      <c r="H39" s="24" t="n">
        <v>45434</v>
      </c>
      <c r="I39" s="23" t="n">
        <v>468.84</v>
      </c>
      <c r="J39" s="25" t="n">
        <f aca="true">NOW()</f>
        <v>46304.4705747772</v>
      </c>
      <c r="K39" s="26" t="n">
        <f aca="false">DATE(YEAR(H39),MONTH(H39),1)</f>
        <v>45413</v>
      </c>
      <c r="L39" s="27" t="n">
        <f aca="false">E39/(1-G39)</f>
        <v>1484.27368421053</v>
      </c>
      <c r="M39" s="27" t="n">
        <f aca="false">E39-I39</f>
        <v>941.22</v>
      </c>
      <c r="N39" s="28" t="n">
        <f aca="false">I39/E39</f>
        <v>0.332496489511085</v>
      </c>
    </row>
    <row r="40" customFormat="false" ht="15" hidden="false" customHeight="false" outlineLevel="0" collapsed="false">
      <c r="A40" s="23" t="s">
        <v>115</v>
      </c>
      <c r="B40" s="23" t="s">
        <v>131</v>
      </c>
      <c r="C40" s="23" t="s">
        <v>105</v>
      </c>
      <c r="D40" s="23" t="s">
        <v>98</v>
      </c>
      <c r="E40" s="23" t="n">
        <v>773.09</v>
      </c>
      <c r="F40" s="23" t="n">
        <v>13</v>
      </c>
      <c r="G40" s="23" t="n">
        <v>0.15</v>
      </c>
      <c r="H40" s="24" t="n">
        <v>45434</v>
      </c>
      <c r="I40" s="23" t="n">
        <v>229.99</v>
      </c>
      <c r="J40" s="25" t="n">
        <f aca="true">NOW()</f>
        <v>46304.4705747772</v>
      </c>
      <c r="K40" s="26" t="n">
        <f aca="false">DATE(YEAR(H40),MONTH(H40),1)</f>
        <v>45413</v>
      </c>
      <c r="L40" s="27" t="n">
        <f aca="false">E40/(1-G40)</f>
        <v>909.517647058824</v>
      </c>
      <c r="M40" s="27" t="n">
        <f aca="false">E40-I40</f>
        <v>543.1</v>
      </c>
      <c r="N40" s="28" t="n">
        <f aca="false">I40/E40</f>
        <v>0.297494470242792</v>
      </c>
    </row>
    <row r="41" customFormat="false" ht="15" hidden="false" customHeight="false" outlineLevel="0" collapsed="false">
      <c r="A41" s="23" t="s">
        <v>132</v>
      </c>
      <c r="B41" s="23" t="s">
        <v>133</v>
      </c>
      <c r="C41" s="23" t="s">
        <v>89</v>
      </c>
      <c r="D41" s="23" t="s">
        <v>83</v>
      </c>
      <c r="E41" s="23" t="n">
        <v>580.43</v>
      </c>
      <c r="F41" s="23" t="n">
        <v>19</v>
      </c>
      <c r="G41" s="23" t="n">
        <v>0.15</v>
      </c>
      <c r="H41" s="24" t="n">
        <v>45435</v>
      </c>
      <c r="I41" s="23" t="n">
        <v>197.35</v>
      </c>
      <c r="J41" s="25" t="n">
        <f aca="true">NOW()</f>
        <v>46304.4705747772</v>
      </c>
      <c r="K41" s="26" t="n">
        <f aca="false">DATE(YEAR(H41),MONTH(H41),1)</f>
        <v>45413</v>
      </c>
      <c r="L41" s="27" t="n">
        <f aca="false">E41/(1-G41)</f>
        <v>682.858823529412</v>
      </c>
      <c r="M41" s="27" t="n">
        <f aca="false">E41-I41</f>
        <v>383.08</v>
      </c>
      <c r="N41" s="28" t="n">
        <f aca="false">I41/E41</f>
        <v>0.340006546870424</v>
      </c>
    </row>
    <row r="42" customFormat="false" ht="15" hidden="false" customHeight="false" outlineLevel="0" collapsed="false">
      <c r="A42" s="23" t="s">
        <v>90</v>
      </c>
      <c r="B42" s="23" t="s">
        <v>113</v>
      </c>
      <c r="C42" s="23" t="s">
        <v>91</v>
      </c>
      <c r="D42" s="23" t="s">
        <v>83</v>
      </c>
      <c r="E42" s="23" t="n">
        <v>1151.21</v>
      </c>
      <c r="F42" s="23" t="n">
        <v>15</v>
      </c>
      <c r="G42" s="23" t="n">
        <v>0.1</v>
      </c>
      <c r="H42" s="24" t="n">
        <v>45445</v>
      </c>
      <c r="I42" s="23" t="n">
        <v>414.44</v>
      </c>
      <c r="J42" s="25" t="n">
        <f aca="true">NOW()</f>
        <v>46304.4705747772</v>
      </c>
      <c r="K42" s="26" t="n">
        <f aca="false">DATE(YEAR(H42),MONTH(H42),1)</f>
        <v>45444</v>
      </c>
      <c r="L42" s="27" t="n">
        <f aca="false">E42/(1-G42)</f>
        <v>1279.12222222222</v>
      </c>
      <c r="M42" s="27" t="n">
        <f aca="false">E42-I42</f>
        <v>736.77</v>
      </c>
      <c r="N42" s="28" t="n">
        <f aca="false">I42/E42</f>
        <v>0.360003822065479</v>
      </c>
    </row>
    <row r="43" customFormat="false" ht="15" hidden="false" customHeight="false" outlineLevel="0" collapsed="false">
      <c r="A43" s="23" t="s">
        <v>123</v>
      </c>
      <c r="B43" s="23" t="s">
        <v>94</v>
      </c>
      <c r="C43" s="23" t="s">
        <v>105</v>
      </c>
      <c r="D43" s="23" t="s">
        <v>110</v>
      </c>
      <c r="E43" s="23" t="n">
        <v>1025.98</v>
      </c>
      <c r="F43" s="23" t="n">
        <v>5</v>
      </c>
      <c r="G43" s="23" t="n">
        <v>0.2</v>
      </c>
      <c r="H43" s="24" t="n">
        <v>45447</v>
      </c>
      <c r="I43" s="23" t="n">
        <v>369.35</v>
      </c>
      <c r="J43" s="25" t="n">
        <f aca="true">NOW()</f>
        <v>46304.4705747773</v>
      </c>
      <c r="K43" s="26" t="n">
        <f aca="false">DATE(YEAR(H43),MONTH(H43),1)</f>
        <v>45444</v>
      </c>
      <c r="L43" s="27" t="n">
        <f aca="false">E43/(1-G43)</f>
        <v>1282.475</v>
      </c>
      <c r="M43" s="27" t="n">
        <f aca="false">E43-I43</f>
        <v>656.63</v>
      </c>
      <c r="N43" s="28" t="n">
        <f aca="false">I43/E43</f>
        <v>0.359997270901967</v>
      </c>
    </row>
    <row r="44" customFormat="false" ht="15" hidden="false" customHeight="false" outlineLevel="0" collapsed="false">
      <c r="A44" s="23" t="s">
        <v>111</v>
      </c>
      <c r="B44" s="23" t="s">
        <v>127</v>
      </c>
      <c r="C44" s="23" t="s">
        <v>89</v>
      </c>
      <c r="D44" s="23" t="s">
        <v>110</v>
      </c>
      <c r="E44" s="23" t="n">
        <v>556.42</v>
      </c>
      <c r="F44" s="23" t="n">
        <v>11</v>
      </c>
      <c r="G44" s="23" t="n">
        <v>0.15</v>
      </c>
      <c r="H44" s="24" t="n">
        <v>45447</v>
      </c>
      <c r="I44" s="23" t="n">
        <v>212.83</v>
      </c>
      <c r="J44" s="25" t="n">
        <f aca="true">NOW()</f>
        <v>46304.4705747773</v>
      </c>
      <c r="K44" s="26" t="n">
        <f aca="false">DATE(YEAR(H44),MONTH(H44),1)</f>
        <v>45444</v>
      </c>
      <c r="L44" s="27" t="n">
        <f aca="false">E44/(1-G44)</f>
        <v>654.611764705882</v>
      </c>
      <c r="M44" s="27" t="n">
        <f aca="false">E44-I44</f>
        <v>343.59</v>
      </c>
      <c r="N44" s="28" t="n">
        <f aca="false">I44/E44</f>
        <v>0.382498831817692</v>
      </c>
    </row>
    <row r="45" customFormat="false" ht="15" hidden="false" customHeight="false" outlineLevel="0" collapsed="false">
      <c r="A45" s="23" t="s">
        <v>128</v>
      </c>
      <c r="B45" s="23" t="s">
        <v>94</v>
      </c>
      <c r="C45" s="23" t="s">
        <v>105</v>
      </c>
      <c r="D45" s="23" t="s">
        <v>83</v>
      </c>
      <c r="E45" s="23" t="n">
        <v>840.85</v>
      </c>
      <c r="F45" s="23" t="n">
        <v>19</v>
      </c>
      <c r="G45" s="23" t="n">
        <v>0.1</v>
      </c>
      <c r="H45" s="24" t="n">
        <v>45448</v>
      </c>
      <c r="I45" s="23" t="n">
        <v>302.71</v>
      </c>
      <c r="J45" s="25" t="n">
        <f aca="true">NOW()</f>
        <v>46304.4705747773</v>
      </c>
      <c r="K45" s="26" t="n">
        <f aca="false">DATE(YEAR(H45),MONTH(H45),1)</f>
        <v>45444</v>
      </c>
      <c r="L45" s="27" t="n">
        <f aca="false">E45/(1-G45)</f>
        <v>934.277777777778</v>
      </c>
      <c r="M45" s="27" t="n">
        <f aca="false">E45-I45</f>
        <v>538.14</v>
      </c>
      <c r="N45" s="28" t="n">
        <f aca="false">I45/E45</f>
        <v>0.360004757091039</v>
      </c>
    </row>
    <row r="46" customFormat="false" ht="15" hidden="false" customHeight="false" outlineLevel="0" collapsed="false">
      <c r="A46" s="23" t="s">
        <v>101</v>
      </c>
      <c r="B46" s="23" t="s">
        <v>133</v>
      </c>
      <c r="C46" s="23" t="s">
        <v>95</v>
      </c>
      <c r="D46" s="23" t="s">
        <v>98</v>
      </c>
      <c r="E46" s="23" t="n">
        <v>1227.25</v>
      </c>
      <c r="F46" s="23" t="n">
        <v>12</v>
      </c>
      <c r="G46" s="23" t="n">
        <v>0.15</v>
      </c>
      <c r="H46" s="24" t="n">
        <v>45448</v>
      </c>
      <c r="I46" s="23" t="n">
        <v>365.11</v>
      </c>
      <c r="J46" s="25" t="n">
        <f aca="true">NOW()</f>
        <v>46304.4705747773</v>
      </c>
      <c r="K46" s="26" t="n">
        <f aca="false">DATE(YEAR(H46),MONTH(H46),1)</f>
        <v>45444</v>
      </c>
      <c r="L46" s="27" t="n">
        <f aca="false">E46/(1-G46)</f>
        <v>1443.82352941176</v>
      </c>
      <c r="M46" s="27" t="n">
        <f aca="false">E46-I46</f>
        <v>862.14</v>
      </c>
      <c r="N46" s="28" t="n">
        <f aca="false">I46/E46</f>
        <v>0.297502546343451</v>
      </c>
    </row>
    <row r="47" customFormat="false" ht="15" hidden="false" customHeight="false" outlineLevel="0" collapsed="false">
      <c r="A47" s="23" t="s">
        <v>87</v>
      </c>
      <c r="B47" s="23" t="s">
        <v>134</v>
      </c>
      <c r="C47" s="23" t="s">
        <v>105</v>
      </c>
      <c r="D47" s="23" t="s">
        <v>92</v>
      </c>
      <c r="E47" s="23" t="n">
        <v>856.7</v>
      </c>
      <c r="F47" s="23" t="n">
        <v>2</v>
      </c>
      <c r="G47" s="23" t="n">
        <v>0</v>
      </c>
      <c r="H47" s="24" t="n">
        <v>45449</v>
      </c>
      <c r="I47" s="23" t="n">
        <v>214.18</v>
      </c>
      <c r="J47" s="25" t="n">
        <f aca="true">NOW()</f>
        <v>46304.4705747773</v>
      </c>
      <c r="K47" s="26" t="n">
        <f aca="false">DATE(YEAR(H47),MONTH(H47),1)</f>
        <v>45444</v>
      </c>
      <c r="L47" s="27" t="n">
        <f aca="false">E47/(1-G47)</f>
        <v>856.7</v>
      </c>
      <c r="M47" s="27" t="n">
        <f aca="false">E47-I47</f>
        <v>642.52</v>
      </c>
      <c r="N47" s="28" t="n">
        <f aca="false">I47/E47</f>
        <v>0.25000583634878</v>
      </c>
    </row>
    <row r="48" customFormat="false" ht="15" hidden="false" customHeight="false" outlineLevel="0" collapsed="false">
      <c r="A48" s="23" t="s">
        <v>125</v>
      </c>
      <c r="B48" s="23" t="s">
        <v>127</v>
      </c>
      <c r="C48" s="23" t="s">
        <v>105</v>
      </c>
      <c r="D48" s="23" t="s">
        <v>110</v>
      </c>
      <c r="E48" s="23" t="n">
        <v>1225.42</v>
      </c>
      <c r="F48" s="23" t="n">
        <v>8</v>
      </c>
      <c r="G48" s="23" t="n">
        <v>0.15</v>
      </c>
      <c r="H48" s="24" t="n">
        <v>45449</v>
      </c>
      <c r="I48" s="23" t="n">
        <v>468.72</v>
      </c>
      <c r="J48" s="25" t="n">
        <f aca="true">NOW()</f>
        <v>46304.4705747773</v>
      </c>
      <c r="K48" s="26" t="n">
        <f aca="false">DATE(YEAR(H48),MONTH(H48),1)</f>
        <v>45444</v>
      </c>
      <c r="L48" s="27" t="n">
        <f aca="false">E48/(1-G48)</f>
        <v>1441.67058823529</v>
      </c>
      <c r="M48" s="27" t="n">
        <f aca="false">E48-I48</f>
        <v>756.7</v>
      </c>
      <c r="N48" s="28" t="n">
        <f aca="false">I48/E48</f>
        <v>0.382497429452759</v>
      </c>
    </row>
    <row r="49" customFormat="false" ht="15" hidden="false" customHeight="false" outlineLevel="0" collapsed="false">
      <c r="A49" s="23" t="s">
        <v>135</v>
      </c>
      <c r="B49" s="23" t="s">
        <v>102</v>
      </c>
      <c r="C49" s="23" t="s">
        <v>95</v>
      </c>
      <c r="D49" s="23" t="s">
        <v>110</v>
      </c>
      <c r="E49" s="23" t="n">
        <v>1001.57</v>
      </c>
      <c r="F49" s="23" t="n">
        <v>12</v>
      </c>
      <c r="G49" s="23" t="n">
        <v>0</v>
      </c>
      <c r="H49" s="24" t="n">
        <v>45450</v>
      </c>
      <c r="I49" s="23" t="n">
        <v>450.71</v>
      </c>
      <c r="J49" s="25" t="n">
        <f aca="true">NOW()</f>
        <v>46304.4705747773</v>
      </c>
      <c r="K49" s="26" t="n">
        <f aca="false">DATE(YEAR(H49),MONTH(H49),1)</f>
        <v>45444</v>
      </c>
      <c r="L49" s="27" t="n">
        <f aca="false">E49/(1-G49)</f>
        <v>1001.57</v>
      </c>
      <c r="M49" s="27" t="n">
        <f aca="false">E49-I49</f>
        <v>550.86</v>
      </c>
      <c r="N49" s="28" t="n">
        <f aca="false">I49/E49</f>
        <v>0.450003494513614</v>
      </c>
    </row>
    <row r="50" customFormat="false" ht="15" hidden="false" customHeight="false" outlineLevel="0" collapsed="false">
      <c r="A50" s="23" t="s">
        <v>128</v>
      </c>
      <c r="B50" s="23" t="s">
        <v>97</v>
      </c>
      <c r="C50" s="23" t="s">
        <v>89</v>
      </c>
      <c r="D50" s="23" t="s">
        <v>98</v>
      </c>
      <c r="E50" s="23" t="n">
        <v>1186.85</v>
      </c>
      <c r="F50" s="23" t="n">
        <v>19</v>
      </c>
      <c r="G50" s="23" t="n">
        <v>0.2</v>
      </c>
      <c r="H50" s="24" t="n">
        <v>45451</v>
      </c>
      <c r="I50" s="23" t="n">
        <v>332.32</v>
      </c>
      <c r="J50" s="25" t="n">
        <f aca="true">NOW()</f>
        <v>46304.4705747773</v>
      </c>
      <c r="K50" s="26" t="n">
        <f aca="false">DATE(YEAR(H50),MONTH(H50),1)</f>
        <v>45444</v>
      </c>
      <c r="L50" s="27" t="n">
        <f aca="false">E50/(1-G50)</f>
        <v>1483.5625</v>
      </c>
      <c r="M50" s="27" t="n">
        <f aca="false">E50-I50</f>
        <v>854.53</v>
      </c>
      <c r="N50" s="28" t="n">
        <f aca="false">I50/E50</f>
        <v>0.280001685132915</v>
      </c>
    </row>
    <row r="51" customFormat="false" ht="15" hidden="false" customHeight="false" outlineLevel="0" collapsed="false">
      <c r="A51" s="23" t="s">
        <v>115</v>
      </c>
      <c r="B51" s="23" t="s">
        <v>122</v>
      </c>
      <c r="C51" s="23" t="s">
        <v>91</v>
      </c>
      <c r="D51" s="23" t="s">
        <v>92</v>
      </c>
      <c r="E51" s="23" t="n">
        <v>775.45</v>
      </c>
      <c r="F51" s="23" t="n">
        <v>6</v>
      </c>
      <c r="G51" s="23" t="n">
        <v>0.1</v>
      </c>
      <c r="H51" s="24" t="n">
        <v>45457</v>
      </c>
      <c r="I51" s="23" t="n">
        <v>174.48</v>
      </c>
      <c r="J51" s="25" t="n">
        <f aca="true">NOW()</f>
        <v>46304.4705747773</v>
      </c>
      <c r="K51" s="26" t="n">
        <f aca="false">DATE(YEAR(H51),MONTH(H51),1)</f>
        <v>45444</v>
      </c>
      <c r="L51" s="27" t="n">
        <f aca="false">E51/(1-G51)</f>
        <v>861.611111111111</v>
      </c>
      <c r="M51" s="27" t="n">
        <f aca="false">E51-I51</f>
        <v>600.97</v>
      </c>
      <c r="N51" s="28" t="n">
        <f aca="false">I51/E51</f>
        <v>0.225004835901734</v>
      </c>
    </row>
    <row r="52" customFormat="false" ht="15" hidden="false" customHeight="false" outlineLevel="0" collapsed="false">
      <c r="A52" s="23" t="s">
        <v>96</v>
      </c>
      <c r="B52" s="23" t="s">
        <v>104</v>
      </c>
      <c r="C52" s="23" t="s">
        <v>91</v>
      </c>
      <c r="D52" s="23" t="s">
        <v>92</v>
      </c>
      <c r="E52" s="23" t="n">
        <v>1021.47</v>
      </c>
      <c r="F52" s="23" t="n">
        <v>6</v>
      </c>
      <c r="G52" s="23" t="n">
        <v>0.05</v>
      </c>
      <c r="H52" s="24" t="n">
        <v>45461</v>
      </c>
      <c r="I52" s="23" t="n">
        <v>242.6</v>
      </c>
      <c r="J52" s="25" t="n">
        <f aca="true">NOW()</f>
        <v>46304.4705747773</v>
      </c>
      <c r="K52" s="26" t="n">
        <f aca="false">DATE(YEAR(H52),MONTH(H52),1)</f>
        <v>45444</v>
      </c>
      <c r="L52" s="27" t="n">
        <f aca="false">E52/(1-G52)</f>
        <v>1075.23157894737</v>
      </c>
      <c r="M52" s="27" t="n">
        <f aca="false">E52-I52</f>
        <v>778.87</v>
      </c>
      <c r="N52" s="28" t="n">
        <f aca="false">I52/E52</f>
        <v>0.237500856608613</v>
      </c>
    </row>
    <row r="53" customFormat="false" ht="15" hidden="false" customHeight="false" outlineLevel="0" collapsed="false">
      <c r="A53" s="23" t="s">
        <v>129</v>
      </c>
      <c r="B53" s="23" t="s">
        <v>94</v>
      </c>
      <c r="C53" s="23" t="s">
        <v>91</v>
      </c>
      <c r="D53" s="23" t="s">
        <v>86</v>
      </c>
      <c r="E53" s="23" t="n">
        <v>1226.62</v>
      </c>
      <c r="F53" s="23" t="n">
        <v>7</v>
      </c>
      <c r="G53" s="23" t="n">
        <v>0.1</v>
      </c>
      <c r="H53" s="24" t="n">
        <v>45463</v>
      </c>
      <c r="I53" s="23" t="n">
        <v>551.98</v>
      </c>
      <c r="J53" s="25" t="n">
        <f aca="true">NOW()</f>
        <v>46304.4705747773</v>
      </c>
      <c r="K53" s="26" t="n">
        <f aca="false">DATE(YEAR(H53),MONTH(H53),1)</f>
        <v>45444</v>
      </c>
      <c r="L53" s="27" t="n">
        <f aca="false">E53/(1-G53)</f>
        <v>1362.91111111111</v>
      </c>
      <c r="M53" s="27" t="n">
        <f aca="false">E53-I53</f>
        <v>674.64</v>
      </c>
      <c r="N53" s="28" t="n">
        <f aca="false">I53/E53</f>
        <v>0.450000815248406</v>
      </c>
    </row>
    <row r="54" customFormat="false" ht="15" hidden="false" customHeight="false" outlineLevel="0" collapsed="false">
      <c r="A54" s="23" t="s">
        <v>93</v>
      </c>
      <c r="B54" s="23" t="s">
        <v>136</v>
      </c>
      <c r="C54" s="23" t="s">
        <v>91</v>
      </c>
      <c r="D54" s="23" t="s">
        <v>98</v>
      </c>
      <c r="E54" s="23" t="n">
        <v>1086.93</v>
      </c>
      <c r="F54" s="23" t="n">
        <v>2</v>
      </c>
      <c r="G54" s="23" t="n">
        <v>0</v>
      </c>
      <c r="H54" s="24" t="n">
        <v>45464</v>
      </c>
      <c r="I54" s="23" t="n">
        <v>380.43</v>
      </c>
      <c r="J54" s="25" t="n">
        <f aca="true">NOW()</f>
        <v>46304.4705747773</v>
      </c>
      <c r="K54" s="26" t="n">
        <f aca="false">DATE(YEAR(H54),MONTH(H54),1)</f>
        <v>45444</v>
      </c>
      <c r="L54" s="27" t="n">
        <f aca="false">E54/(1-G54)</f>
        <v>1086.93</v>
      </c>
      <c r="M54" s="27" t="n">
        <f aca="false">E54-I54</f>
        <v>706.5</v>
      </c>
      <c r="N54" s="28" t="n">
        <f aca="false">I54/E54</f>
        <v>0.350004140101018</v>
      </c>
    </row>
    <row r="55" customFormat="false" ht="15" hidden="false" customHeight="false" outlineLevel="0" collapsed="false">
      <c r="A55" s="23" t="s">
        <v>137</v>
      </c>
      <c r="B55" s="23" t="s">
        <v>130</v>
      </c>
      <c r="C55" s="23" t="s">
        <v>82</v>
      </c>
      <c r="D55" s="23" t="s">
        <v>83</v>
      </c>
      <c r="E55" s="23" t="n">
        <v>942.9</v>
      </c>
      <c r="F55" s="23" t="n">
        <v>18</v>
      </c>
      <c r="G55" s="23" t="n">
        <v>0.1</v>
      </c>
      <c r="H55" s="24" t="n">
        <v>45466</v>
      </c>
      <c r="I55" s="23" t="n">
        <v>339.44</v>
      </c>
      <c r="J55" s="25" t="n">
        <f aca="true">NOW()</f>
        <v>46304.4705747773</v>
      </c>
      <c r="K55" s="26" t="n">
        <f aca="false">DATE(YEAR(H55),MONTH(H55),1)</f>
        <v>45444</v>
      </c>
      <c r="L55" s="27" t="n">
        <f aca="false">E55/(1-G55)</f>
        <v>1047.66666666667</v>
      </c>
      <c r="M55" s="27" t="n">
        <f aca="false">E55-I55</f>
        <v>603.46</v>
      </c>
      <c r="N55" s="28" t="n">
        <f aca="false">I55/E55</f>
        <v>0.359995757768586</v>
      </c>
    </row>
    <row r="56" customFormat="false" ht="15" hidden="false" customHeight="false" outlineLevel="0" collapsed="false">
      <c r="A56" s="23" t="s">
        <v>103</v>
      </c>
      <c r="B56" s="23" t="s">
        <v>109</v>
      </c>
      <c r="C56" s="23" t="s">
        <v>95</v>
      </c>
      <c r="D56" s="23" t="s">
        <v>92</v>
      </c>
      <c r="E56" s="23" t="n">
        <v>818.8</v>
      </c>
      <c r="F56" s="23" t="n">
        <v>15</v>
      </c>
      <c r="G56" s="23" t="n">
        <v>0.15</v>
      </c>
      <c r="H56" s="24" t="n">
        <v>45468</v>
      </c>
      <c r="I56" s="23" t="n">
        <v>173.99</v>
      </c>
      <c r="J56" s="25" t="n">
        <f aca="true">NOW()</f>
        <v>46304.4705747773</v>
      </c>
      <c r="K56" s="26" t="n">
        <f aca="false">DATE(YEAR(H56),MONTH(H56),1)</f>
        <v>45444</v>
      </c>
      <c r="L56" s="27" t="n">
        <f aca="false">E56/(1-G56)</f>
        <v>963.294117647059</v>
      </c>
      <c r="M56" s="27" t="n">
        <f aca="false">E56-I56</f>
        <v>644.81</v>
      </c>
      <c r="N56" s="28" t="n">
        <f aca="false">I56/E56</f>
        <v>0.212493893502687</v>
      </c>
    </row>
    <row r="57" customFormat="false" ht="15" hidden="false" customHeight="false" outlineLevel="0" collapsed="false">
      <c r="A57" s="23" t="s">
        <v>90</v>
      </c>
      <c r="B57" s="23" t="s">
        <v>85</v>
      </c>
      <c r="C57" s="23" t="s">
        <v>91</v>
      </c>
      <c r="D57" s="23" t="s">
        <v>98</v>
      </c>
      <c r="E57" s="23" t="n">
        <v>919.04</v>
      </c>
      <c r="F57" s="23" t="n">
        <v>10</v>
      </c>
      <c r="G57" s="23" t="n">
        <v>0.2</v>
      </c>
      <c r="H57" s="24" t="n">
        <v>45468</v>
      </c>
      <c r="I57" s="23" t="n">
        <v>257.33</v>
      </c>
      <c r="J57" s="25" t="n">
        <f aca="true">NOW()</f>
        <v>46304.4705747773</v>
      </c>
      <c r="K57" s="26" t="n">
        <f aca="false">DATE(YEAR(H57),MONTH(H57),1)</f>
        <v>45444</v>
      </c>
      <c r="L57" s="27" t="n">
        <f aca="false">E57/(1-G57)</f>
        <v>1148.8</v>
      </c>
      <c r="M57" s="27" t="n">
        <f aca="false">E57-I57</f>
        <v>661.71</v>
      </c>
      <c r="N57" s="28" t="n">
        <f aca="false">I57/E57</f>
        <v>0.279998694289694</v>
      </c>
    </row>
    <row r="58" customFormat="false" ht="15" hidden="false" customHeight="false" outlineLevel="0" collapsed="false">
      <c r="A58" s="23" t="s">
        <v>93</v>
      </c>
      <c r="B58" s="23" t="s">
        <v>138</v>
      </c>
      <c r="C58" s="23" t="s">
        <v>105</v>
      </c>
      <c r="D58" s="23" t="s">
        <v>83</v>
      </c>
      <c r="E58" s="23" t="n">
        <v>973.26</v>
      </c>
      <c r="F58" s="23" t="n">
        <v>11</v>
      </c>
      <c r="G58" s="23" t="n">
        <v>0</v>
      </c>
      <c r="H58" s="24" t="n">
        <v>45470</v>
      </c>
      <c r="I58" s="23" t="n">
        <v>389.3</v>
      </c>
      <c r="J58" s="25" t="n">
        <f aca="true">NOW()</f>
        <v>46304.4705747773</v>
      </c>
      <c r="K58" s="26" t="n">
        <f aca="false">DATE(YEAR(H58),MONTH(H58),1)</f>
        <v>45444</v>
      </c>
      <c r="L58" s="27" t="n">
        <f aca="false">E58/(1-G58)</f>
        <v>973.26</v>
      </c>
      <c r="M58" s="27" t="n">
        <f aca="false">E58-I58</f>
        <v>583.96</v>
      </c>
      <c r="N58" s="28" t="n">
        <f aca="false">I58/E58</f>
        <v>0.399995890101309</v>
      </c>
    </row>
    <row r="59" customFormat="false" ht="15" hidden="false" customHeight="false" outlineLevel="0" collapsed="false">
      <c r="A59" s="23" t="s">
        <v>112</v>
      </c>
      <c r="B59" s="23" t="s">
        <v>114</v>
      </c>
      <c r="C59" s="23" t="s">
        <v>95</v>
      </c>
      <c r="D59" s="23" t="s">
        <v>92</v>
      </c>
      <c r="E59" s="23" t="n">
        <v>741.61</v>
      </c>
      <c r="F59" s="23" t="n">
        <v>1</v>
      </c>
      <c r="G59" s="23" t="n">
        <v>0.2</v>
      </c>
      <c r="H59" s="24" t="n">
        <v>45471</v>
      </c>
      <c r="I59" s="23" t="n">
        <v>148.32</v>
      </c>
      <c r="J59" s="25" t="n">
        <f aca="true">NOW()</f>
        <v>46304.4705747773</v>
      </c>
      <c r="K59" s="26" t="n">
        <f aca="false">DATE(YEAR(H59),MONTH(H59),1)</f>
        <v>45444</v>
      </c>
      <c r="L59" s="27" t="n">
        <f aca="false">E59/(1-G59)</f>
        <v>927.0125</v>
      </c>
      <c r="M59" s="27" t="n">
        <f aca="false">E59-I59</f>
        <v>593.29</v>
      </c>
      <c r="N59" s="28" t="n">
        <f aca="false">I59/E59</f>
        <v>0.199997303164736</v>
      </c>
    </row>
    <row r="60" customFormat="false" ht="15" hidden="false" customHeight="false" outlineLevel="0" collapsed="false">
      <c r="A60" s="23" t="s">
        <v>139</v>
      </c>
      <c r="B60" s="23" t="s">
        <v>109</v>
      </c>
      <c r="C60" s="23" t="s">
        <v>95</v>
      </c>
      <c r="D60" s="23" t="s">
        <v>83</v>
      </c>
      <c r="E60" s="23" t="n">
        <v>1248.82</v>
      </c>
      <c r="F60" s="23" t="n">
        <v>2</v>
      </c>
      <c r="G60" s="23" t="n">
        <v>0.1</v>
      </c>
      <c r="H60" s="24" t="n">
        <v>45473</v>
      </c>
      <c r="I60" s="23" t="n">
        <v>449.58</v>
      </c>
      <c r="J60" s="25" t="n">
        <f aca="true">NOW()</f>
        <v>46304.4705747773</v>
      </c>
      <c r="K60" s="26" t="n">
        <f aca="false">DATE(YEAR(H60),MONTH(H60),1)</f>
        <v>45444</v>
      </c>
      <c r="L60" s="27" t="n">
        <f aca="false">E60/(1-G60)</f>
        <v>1387.57777777778</v>
      </c>
      <c r="M60" s="27" t="n">
        <f aca="false">E60-I60</f>
        <v>799.24</v>
      </c>
      <c r="N60" s="28" t="n">
        <f aca="false">I60/E60</f>
        <v>0.360003843628385</v>
      </c>
    </row>
    <row r="61" customFormat="false" ht="15" hidden="false" customHeight="false" outlineLevel="0" collapsed="false">
      <c r="A61" s="23" t="s">
        <v>84</v>
      </c>
      <c r="B61" s="23" t="s">
        <v>131</v>
      </c>
      <c r="C61" s="23" t="s">
        <v>82</v>
      </c>
      <c r="D61" s="23" t="s">
        <v>86</v>
      </c>
      <c r="E61" s="23" t="n">
        <v>1360.36</v>
      </c>
      <c r="F61" s="23" t="n">
        <v>17</v>
      </c>
      <c r="G61" s="23" t="n">
        <v>0</v>
      </c>
      <c r="H61" s="24" t="n">
        <v>45473</v>
      </c>
      <c r="I61" s="23" t="n">
        <v>680.18</v>
      </c>
      <c r="J61" s="25" t="n">
        <f aca="true">NOW()</f>
        <v>46304.4705747773</v>
      </c>
      <c r="K61" s="26" t="n">
        <f aca="false">DATE(YEAR(H61),MONTH(H61),1)</f>
        <v>45444</v>
      </c>
      <c r="L61" s="27" t="n">
        <f aca="false">E61/(1-G61)</f>
        <v>1360.36</v>
      </c>
      <c r="M61" s="27" t="n">
        <f aca="false">E61-I61</f>
        <v>680.18</v>
      </c>
      <c r="N61" s="28" t="n">
        <f aca="false">I61/E61</f>
        <v>0.5</v>
      </c>
    </row>
    <row r="62" customFormat="false" ht="15" hidden="false" customHeight="false" outlineLevel="0" collapsed="false">
      <c r="A62" s="23" t="s">
        <v>128</v>
      </c>
      <c r="B62" s="23" t="s">
        <v>102</v>
      </c>
      <c r="C62" s="23" t="s">
        <v>89</v>
      </c>
      <c r="D62" s="23" t="s">
        <v>83</v>
      </c>
      <c r="E62" s="23" t="n">
        <v>1383.3</v>
      </c>
      <c r="F62" s="23" t="n">
        <v>8</v>
      </c>
      <c r="G62" s="23" t="n">
        <v>0.1</v>
      </c>
      <c r="H62" s="24" t="n">
        <v>45478</v>
      </c>
      <c r="I62" s="23" t="n">
        <v>497.99</v>
      </c>
      <c r="J62" s="25" t="n">
        <f aca="true">NOW()</f>
        <v>46304.4705747773</v>
      </c>
      <c r="K62" s="26" t="n">
        <f aca="false">DATE(YEAR(H62),MONTH(H62),1)</f>
        <v>45474</v>
      </c>
      <c r="L62" s="27" t="n">
        <f aca="false">E62/(1-G62)</f>
        <v>1537</v>
      </c>
      <c r="M62" s="27" t="n">
        <f aca="false">E62-I62</f>
        <v>885.31</v>
      </c>
      <c r="N62" s="28" t="n">
        <f aca="false">I62/E62</f>
        <v>0.360001445817972</v>
      </c>
    </row>
    <row r="63" customFormat="false" ht="15" hidden="false" customHeight="false" outlineLevel="0" collapsed="false">
      <c r="A63" s="23" t="s">
        <v>106</v>
      </c>
      <c r="B63" s="23" t="s">
        <v>126</v>
      </c>
      <c r="C63" s="23" t="s">
        <v>105</v>
      </c>
      <c r="D63" s="23" t="s">
        <v>110</v>
      </c>
      <c r="E63" s="23" t="n">
        <v>488.99</v>
      </c>
      <c r="F63" s="23" t="n">
        <v>9</v>
      </c>
      <c r="G63" s="23" t="n">
        <v>0</v>
      </c>
      <c r="H63" s="24" t="n">
        <v>45479</v>
      </c>
      <c r="I63" s="23" t="n">
        <v>220.05</v>
      </c>
      <c r="J63" s="25" t="n">
        <f aca="true">NOW()</f>
        <v>46304.4705747773</v>
      </c>
      <c r="K63" s="26" t="n">
        <f aca="false">DATE(YEAR(H63),MONTH(H63),1)</f>
        <v>45474</v>
      </c>
      <c r="L63" s="27" t="n">
        <f aca="false">E63/(1-G63)</f>
        <v>488.99</v>
      </c>
      <c r="M63" s="27" t="n">
        <f aca="false">E63-I63</f>
        <v>268.94</v>
      </c>
      <c r="N63" s="28" t="n">
        <f aca="false">I63/E63</f>
        <v>0.450009202642181</v>
      </c>
    </row>
    <row r="64" customFormat="false" ht="15" hidden="false" customHeight="false" outlineLevel="0" collapsed="false">
      <c r="A64" s="23" t="s">
        <v>101</v>
      </c>
      <c r="B64" s="23" t="s">
        <v>102</v>
      </c>
      <c r="C64" s="23" t="s">
        <v>89</v>
      </c>
      <c r="D64" s="23" t="s">
        <v>98</v>
      </c>
      <c r="E64" s="23" t="n">
        <v>933.71</v>
      </c>
      <c r="F64" s="23" t="n">
        <v>17</v>
      </c>
      <c r="G64" s="23" t="n">
        <v>0.1</v>
      </c>
      <c r="H64" s="24" t="n">
        <v>45481</v>
      </c>
      <c r="I64" s="23" t="n">
        <v>294.12</v>
      </c>
      <c r="J64" s="25" t="n">
        <f aca="true">NOW()</f>
        <v>46304.4705747773</v>
      </c>
      <c r="K64" s="26" t="n">
        <f aca="false">DATE(YEAR(H64),MONTH(H64),1)</f>
        <v>45474</v>
      </c>
      <c r="L64" s="27" t="n">
        <f aca="false">E64/(1-G64)</f>
        <v>1037.45555555556</v>
      </c>
      <c r="M64" s="27" t="n">
        <f aca="false">E64-I64</f>
        <v>639.59</v>
      </c>
      <c r="N64" s="28" t="n">
        <f aca="false">I64/E64</f>
        <v>0.31500144584507</v>
      </c>
    </row>
    <row r="65" customFormat="false" ht="15" hidden="false" customHeight="false" outlineLevel="0" collapsed="false">
      <c r="A65" s="23" t="s">
        <v>139</v>
      </c>
      <c r="B65" s="23" t="s">
        <v>81</v>
      </c>
      <c r="C65" s="23" t="s">
        <v>82</v>
      </c>
      <c r="D65" s="23" t="s">
        <v>92</v>
      </c>
      <c r="E65" s="23" t="n">
        <v>1005.53</v>
      </c>
      <c r="F65" s="23" t="n">
        <v>17</v>
      </c>
      <c r="G65" s="23" t="n">
        <v>0.2</v>
      </c>
      <c r="H65" s="24" t="n">
        <v>45481</v>
      </c>
      <c r="I65" s="23" t="n">
        <v>201.11</v>
      </c>
      <c r="J65" s="25" t="n">
        <f aca="true">NOW()</f>
        <v>46304.4705747773</v>
      </c>
      <c r="K65" s="26" t="n">
        <f aca="false">DATE(YEAR(H65),MONTH(H65),1)</f>
        <v>45474</v>
      </c>
      <c r="L65" s="27" t="n">
        <f aca="false">E65/(1-G65)</f>
        <v>1256.9125</v>
      </c>
      <c r="M65" s="27" t="n">
        <f aca="false">E65-I65</f>
        <v>804.42</v>
      </c>
      <c r="N65" s="28" t="n">
        <f aca="false">I65/E65</f>
        <v>0.200003978001651</v>
      </c>
    </row>
    <row r="66" customFormat="false" ht="15" hidden="false" customHeight="false" outlineLevel="0" collapsed="false">
      <c r="A66" s="23" t="s">
        <v>112</v>
      </c>
      <c r="B66" s="23" t="s">
        <v>133</v>
      </c>
      <c r="C66" s="23" t="s">
        <v>91</v>
      </c>
      <c r="D66" s="23" t="s">
        <v>92</v>
      </c>
      <c r="E66" s="23" t="n">
        <v>1100.1</v>
      </c>
      <c r="F66" s="23" t="n">
        <v>5</v>
      </c>
      <c r="G66" s="23" t="n">
        <v>0.05</v>
      </c>
      <c r="H66" s="24" t="n">
        <v>45482</v>
      </c>
      <c r="I66" s="23" t="n">
        <v>261.27</v>
      </c>
      <c r="J66" s="25" t="n">
        <f aca="true">NOW()</f>
        <v>46304.4705747773</v>
      </c>
      <c r="K66" s="26" t="n">
        <f aca="false">DATE(YEAR(H66),MONTH(H66),1)</f>
        <v>45474</v>
      </c>
      <c r="L66" s="27" t="n">
        <f aca="false">E66/(1-G66)</f>
        <v>1158</v>
      </c>
      <c r="M66" s="27" t="n">
        <f aca="false">E66-I66</f>
        <v>838.83</v>
      </c>
      <c r="N66" s="28" t="n">
        <f aca="false">I66/E66</f>
        <v>0.23749659121898</v>
      </c>
    </row>
    <row r="67" customFormat="false" ht="15" hidden="false" customHeight="false" outlineLevel="0" collapsed="false">
      <c r="A67" s="23" t="s">
        <v>139</v>
      </c>
      <c r="B67" s="23" t="s">
        <v>94</v>
      </c>
      <c r="C67" s="23" t="s">
        <v>95</v>
      </c>
      <c r="D67" s="23" t="s">
        <v>98</v>
      </c>
      <c r="E67" s="23" t="n">
        <v>1034.7</v>
      </c>
      <c r="F67" s="23" t="n">
        <v>15</v>
      </c>
      <c r="G67" s="23" t="n">
        <v>0.15</v>
      </c>
      <c r="H67" s="24" t="n">
        <v>45487</v>
      </c>
      <c r="I67" s="23" t="n">
        <v>307.82</v>
      </c>
      <c r="J67" s="25" t="n">
        <f aca="true">NOW()</f>
        <v>46304.4705747773</v>
      </c>
      <c r="K67" s="26" t="n">
        <f aca="false">DATE(YEAR(H67),MONTH(H67),1)</f>
        <v>45474</v>
      </c>
      <c r="L67" s="27" t="n">
        <f aca="false">E67/(1-G67)</f>
        <v>1217.29411764706</v>
      </c>
      <c r="M67" s="27" t="n">
        <f aca="false">E67-I67</f>
        <v>726.88</v>
      </c>
      <c r="N67" s="28" t="n">
        <f aca="false">I67/E67</f>
        <v>0.297496858992945</v>
      </c>
    </row>
    <row r="68" customFormat="false" ht="15" hidden="false" customHeight="false" outlineLevel="0" collapsed="false">
      <c r="A68" s="23" t="s">
        <v>137</v>
      </c>
      <c r="B68" s="23" t="s">
        <v>102</v>
      </c>
      <c r="C68" s="23" t="s">
        <v>91</v>
      </c>
      <c r="D68" s="23" t="s">
        <v>83</v>
      </c>
      <c r="E68" s="23" t="n">
        <v>876.44</v>
      </c>
      <c r="F68" s="23" t="n">
        <v>12</v>
      </c>
      <c r="G68" s="23" t="n">
        <v>0.05</v>
      </c>
      <c r="H68" s="24" t="n">
        <v>45488</v>
      </c>
      <c r="I68" s="23" t="n">
        <v>333.05</v>
      </c>
      <c r="J68" s="25" t="n">
        <f aca="true">NOW()</f>
        <v>46304.4705747773</v>
      </c>
      <c r="K68" s="26" t="n">
        <f aca="false">DATE(YEAR(H68),MONTH(H68),1)</f>
        <v>45474</v>
      </c>
      <c r="L68" s="27" t="n">
        <f aca="false">E68/(1-G68)</f>
        <v>922.568421052632</v>
      </c>
      <c r="M68" s="27" t="n">
        <f aca="false">E68-I68</f>
        <v>543.39</v>
      </c>
      <c r="N68" s="28" t="n">
        <f aca="false">I68/E68</f>
        <v>0.380003194742367</v>
      </c>
    </row>
    <row r="69" customFormat="false" ht="15" hidden="false" customHeight="false" outlineLevel="0" collapsed="false">
      <c r="A69" s="23" t="s">
        <v>140</v>
      </c>
      <c r="B69" s="23" t="s">
        <v>126</v>
      </c>
      <c r="C69" s="23" t="s">
        <v>82</v>
      </c>
      <c r="D69" s="23" t="s">
        <v>98</v>
      </c>
      <c r="E69" s="23" t="n">
        <v>1371.34</v>
      </c>
      <c r="F69" s="23" t="n">
        <v>5</v>
      </c>
      <c r="G69" s="23" t="n">
        <v>0.05</v>
      </c>
      <c r="H69" s="24" t="n">
        <v>45488</v>
      </c>
      <c r="I69" s="23" t="n">
        <v>455.97</v>
      </c>
      <c r="J69" s="25" t="n">
        <f aca="true">NOW()</f>
        <v>46304.4705747773</v>
      </c>
      <c r="K69" s="26" t="n">
        <f aca="false">DATE(YEAR(H69),MONTH(H69),1)</f>
        <v>45474</v>
      </c>
      <c r="L69" s="27" t="n">
        <f aca="false">E69/(1-G69)</f>
        <v>1443.51578947368</v>
      </c>
      <c r="M69" s="27" t="n">
        <f aca="false">E69-I69</f>
        <v>915.37</v>
      </c>
      <c r="N69" s="28" t="n">
        <f aca="false">I69/E69</f>
        <v>0.332499598932431</v>
      </c>
    </row>
    <row r="70" customFormat="false" ht="15" hidden="false" customHeight="false" outlineLevel="0" collapsed="false">
      <c r="A70" s="23" t="s">
        <v>128</v>
      </c>
      <c r="B70" s="23" t="s">
        <v>118</v>
      </c>
      <c r="C70" s="23" t="s">
        <v>95</v>
      </c>
      <c r="D70" s="23" t="s">
        <v>92</v>
      </c>
      <c r="E70" s="23" t="n">
        <v>1020.26</v>
      </c>
      <c r="F70" s="23" t="n">
        <v>11</v>
      </c>
      <c r="G70" s="23" t="n">
        <v>0.05</v>
      </c>
      <c r="H70" s="24" t="n">
        <v>45494</v>
      </c>
      <c r="I70" s="23" t="n">
        <v>242.31</v>
      </c>
      <c r="J70" s="25" t="n">
        <f aca="true">NOW()</f>
        <v>46304.4705747773</v>
      </c>
      <c r="K70" s="26" t="n">
        <f aca="false">DATE(YEAR(H70),MONTH(H70),1)</f>
        <v>45474</v>
      </c>
      <c r="L70" s="27" t="n">
        <f aca="false">E70/(1-G70)</f>
        <v>1073.95789473684</v>
      </c>
      <c r="M70" s="27" t="n">
        <f aca="false">E70-I70</f>
        <v>777.95</v>
      </c>
      <c r="N70" s="28" t="n">
        <f aca="false">I70/E70</f>
        <v>0.237498284750946</v>
      </c>
    </row>
    <row r="71" customFormat="false" ht="15" hidden="false" customHeight="false" outlineLevel="0" collapsed="false">
      <c r="A71" s="23" t="s">
        <v>115</v>
      </c>
      <c r="B71" s="23" t="s">
        <v>81</v>
      </c>
      <c r="C71" s="23" t="s">
        <v>105</v>
      </c>
      <c r="D71" s="23" t="s">
        <v>110</v>
      </c>
      <c r="E71" s="23" t="n">
        <v>804.81</v>
      </c>
      <c r="F71" s="23" t="n">
        <v>1</v>
      </c>
      <c r="G71" s="23" t="n">
        <v>0.05</v>
      </c>
      <c r="H71" s="24" t="n">
        <v>45502</v>
      </c>
      <c r="I71" s="23" t="n">
        <v>344.06</v>
      </c>
      <c r="J71" s="25" t="n">
        <f aca="true">NOW()</f>
        <v>46304.4705747773</v>
      </c>
      <c r="K71" s="26" t="n">
        <f aca="false">DATE(YEAR(H71),MONTH(H71),1)</f>
        <v>45474</v>
      </c>
      <c r="L71" s="27" t="n">
        <f aca="false">E71/(1-G71)</f>
        <v>847.168421052632</v>
      </c>
      <c r="M71" s="27" t="n">
        <f aca="false">E71-I71</f>
        <v>460.75</v>
      </c>
      <c r="N71" s="28" t="n">
        <f aca="false">I71/E71</f>
        <v>0.427504628421615</v>
      </c>
    </row>
    <row r="72" customFormat="false" ht="15" hidden="false" customHeight="false" outlineLevel="0" collapsed="false">
      <c r="A72" s="23" t="s">
        <v>93</v>
      </c>
      <c r="B72" s="23" t="s">
        <v>126</v>
      </c>
      <c r="C72" s="23" t="s">
        <v>105</v>
      </c>
      <c r="D72" s="23" t="s">
        <v>92</v>
      </c>
      <c r="E72" s="23" t="n">
        <v>608.66</v>
      </c>
      <c r="F72" s="23" t="n">
        <v>1</v>
      </c>
      <c r="G72" s="23" t="n">
        <v>0.05</v>
      </c>
      <c r="H72" s="24" t="n">
        <v>45503</v>
      </c>
      <c r="I72" s="23" t="n">
        <v>144.56</v>
      </c>
      <c r="J72" s="25" t="n">
        <f aca="true">NOW()</f>
        <v>46304.4705747773</v>
      </c>
      <c r="K72" s="26" t="n">
        <f aca="false">DATE(YEAR(H72),MONTH(H72),1)</f>
        <v>45474</v>
      </c>
      <c r="L72" s="27" t="n">
        <f aca="false">E72/(1-G72)</f>
        <v>640.694736842105</v>
      </c>
      <c r="M72" s="27" t="n">
        <f aca="false">E72-I72</f>
        <v>464.1</v>
      </c>
      <c r="N72" s="28" t="n">
        <f aca="false">I72/E72</f>
        <v>0.237505339598462</v>
      </c>
    </row>
    <row r="73" customFormat="false" ht="15" hidden="false" customHeight="false" outlineLevel="0" collapsed="false">
      <c r="A73" s="23" t="s">
        <v>140</v>
      </c>
      <c r="B73" s="23" t="s">
        <v>141</v>
      </c>
      <c r="C73" s="23" t="s">
        <v>91</v>
      </c>
      <c r="D73" s="23" t="s">
        <v>110</v>
      </c>
      <c r="E73" s="23" t="n">
        <v>981.2</v>
      </c>
      <c r="F73" s="23" t="n">
        <v>19</v>
      </c>
      <c r="G73" s="23" t="n">
        <v>0</v>
      </c>
      <c r="H73" s="24" t="n">
        <v>45504</v>
      </c>
      <c r="I73" s="23" t="n">
        <v>441.54</v>
      </c>
      <c r="J73" s="25" t="n">
        <f aca="true">NOW()</f>
        <v>46304.4705747773</v>
      </c>
      <c r="K73" s="26" t="n">
        <f aca="false">DATE(YEAR(H73),MONTH(H73),1)</f>
        <v>45474</v>
      </c>
      <c r="L73" s="27" t="n">
        <f aca="false">E73/(1-G73)</f>
        <v>981.2</v>
      </c>
      <c r="M73" s="27" t="n">
        <f aca="false">E73-I73</f>
        <v>539.66</v>
      </c>
      <c r="N73" s="28" t="n">
        <f aca="false">I73/E73</f>
        <v>0.45</v>
      </c>
    </row>
    <row r="74" customFormat="false" ht="15" hidden="false" customHeight="false" outlineLevel="0" collapsed="false">
      <c r="A74" s="23" t="s">
        <v>142</v>
      </c>
      <c r="B74" s="23" t="s">
        <v>126</v>
      </c>
      <c r="C74" s="23" t="s">
        <v>89</v>
      </c>
      <c r="D74" s="23" t="s">
        <v>92</v>
      </c>
      <c r="E74" s="23" t="n">
        <v>539.77</v>
      </c>
      <c r="F74" s="23" t="n">
        <v>10</v>
      </c>
      <c r="G74" s="23" t="n">
        <v>0.15</v>
      </c>
      <c r="H74" s="24" t="n">
        <v>45509</v>
      </c>
      <c r="I74" s="23" t="n">
        <v>114.7</v>
      </c>
      <c r="J74" s="25" t="n">
        <f aca="true">NOW()</f>
        <v>46304.4705747773</v>
      </c>
      <c r="K74" s="26" t="n">
        <f aca="false">DATE(YEAR(H74),MONTH(H74),1)</f>
        <v>45505</v>
      </c>
      <c r="L74" s="27" t="n">
        <f aca="false">E74/(1-G74)</f>
        <v>635.023529411765</v>
      </c>
      <c r="M74" s="27" t="n">
        <f aca="false">E74-I74</f>
        <v>425.07</v>
      </c>
      <c r="N74" s="28" t="n">
        <f aca="false">I74/E74</f>
        <v>0.212497915778943</v>
      </c>
    </row>
    <row r="75" customFormat="false" ht="15" hidden="false" customHeight="false" outlineLevel="0" collapsed="false">
      <c r="A75" s="23" t="s">
        <v>84</v>
      </c>
      <c r="B75" s="23" t="s">
        <v>143</v>
      </c>
      <c r="C75" s="23" t="s">
        <v>91</v>
      </c>
      <c r="D75" s="23" t="s">
        <v>83</v>
      </c>
      <c r="E75" s="23" t="n">
        <v>804.45</v>
      </c>
      <c r="F75" s="23" t="n">
        <v>5</v>
      </c>
      <c r="G75" s="23" t="n">
        <v>0.2</v>
      </c>
      <c r="H75" s="24" t="n">
        <v>45509</v>
      </c>
      <c r="I75" s="23" t="n">
        <v>257.42</v>
      </c>
      <c r="J75" s="25" t="n">
        <f aca="true">NOW()</f>
        <v>46304.4705747773</v>
      </c>
      <c r="K75" s="26" t="n">
        <f aca="false">DATE(YEAR(H75),MONTH(H75),1)</f>
        <v>45505</v>
      </c>
      <c r="L75" s="27" t="n">
        <f aca="false">E75/(1-G75)</f>
        <v>1005.5625</v>
      </c>
      <c r="M75" s="27" t="n">
        <f aca="false">E75-I75</f>
        <v>547.03</v>
      </c>
      <c r="N75" s="28" t="n">
        <f aca="false">I75/E75</f>
        <v>0.319995027658649</v>
      </c>
    </row>
    <row r="76" customFormat="false" ht="15" hidden="false" customHeight="false" outlineLevel="0" collapsed="false">
      <c r="A76" s="23" t="s">
        <v>142</v>
      </c>
      <c r="B76" s="23" t="s">
        <v>109</v>
      </c>
      <c r="C76" s="23" t="s">
        <v>82</v>
      </c>
      <c r="D76" s="23" t="s">
        <v>92</v>
      </c>
      <c r="E76" s="23" t="n">
        <v>1526.6</v>
      </c>
      <c r="F76" s="23" t="n">
        <v>13</v>
      </c>
      <c r="G76" s="23" t="n">
        <v>0.2</v>
      </c>
      <c r="H76" s="24" t="n">
        <v>45512</v>
      </c>
      <c r="I76" s="23" t="n">
        <v>305.32</v>
      </c>
      <c r="J76" s="25" t="n">
        <f aca="true">NOW()</f>
        <v>46304.4705747774</v>
      </c>
      <c r="K76" s="26" t="n">
        <f aca="false">DATE(YEAR(H76),MONTH(H76),1)</f>
        <v>45505</v>
      </c>
      <c r="L76" s="27" t="n">
        <f aca="false">E76/(1-G76)</f>
        <v>1908.25</v>
      </c>
      <c r="M76" s="27" t="n">
        <f aca="false">E76-I76</f>
        <v>1221.28</v>
      </c>
      <c r="N76" s="28" t="n">
        <f aca="false">I76/E76</f>
        <v>0.2</v>
      </c>
    </row>
    <row r="77" customFormat="false" ht="15" hidden="false" customHeight="false" outlineLevel="0" collapsed="false">
      <c r="A77" s="23" t="s">
        <v>84</v>
      </c>
      <c r="B77" s="23" t="s">
        <v>100</v>
      </c>
      <c r="C77" s="23" t="s">
        <v>82</v>
      </c>
      <c r="D77" s="23" t="s">
        <v>92</v>
      </c>
      <c r="E77" s="23" t="n">
        <v>1215.26</v>
      </c>
      <c r="F77" s="23" t="n">
        <v>5</v>
      </c>
      <c r="G77" s="23" t="n">
        <v>0.15</v>
      </c>
      <c r="H77" s="24" t="n">
        <v>45513</v>
      </c>
      <c r="I77" s="23" t="n">
        <v>258.24</v>
      </c>
      <c r="J77" s="25" t="n">
        <f aca="true">NOW()</f>
        <v>46304.4705747774</v>
      </c>
      <c r="K77" s="26" t="n">
        <f aca="false">DATE(YEAR(H77),MONTH(H77),1)</f>
        <v>45505</v>
      </c>
      <c r="L77" s="27" t="n">
        <f aca="false">E77/(1-G77)</f>
        <v>1429.71764705882</v>
      </c>
      <c r="M77" s="27" t="n">
        <f aca="false">E77-I77</f>
        <v>957.02</v>
      </c>
      <c r="N77" s="28" t="n">
        <f aca="false">I77/E77</f>
        <v>0.212497737109754</v>
      </c>
    </row>
    <row r="78" customFormat="false" ht="15" hidden="false" customHeight="false" outlineLevel="0" collapsed="false">
      <c r="A78" s="23" t="s">
        <v>90</v>
      </c>
      <c r="B78" s="23" t="s">
        <v>124</v>
      </c>
      <c r="C78" s="23" t="s">
        <v>105</v>
      </c>
      <c r="D78" s="23" t="s">
        <v>98</v>
      </c>
      <c r="E78" s="23" t="n">
        <v>1261.34</v>
      </c>
      <c r="F78" s="23" t="n">
        <v>3</v>
      </c>
      <c r="G78" s="23" t="n">
        <v>0</v>
      </c>
      <c r="H78" s="24" t="n">
        <v>45519</v>
      </c>
      <c r="I78" s="23" t="n">
        <v>441.47</v>
      </c>
      <c r="J78" s="25" t="n">
        <f aca="true">NOW()</f>
        <v>46304.4705747774</v>
      </c>
      <c r="K78" s="26" t="n">
        <f aca="false">DATE(YEAR(H78),MONTH(H78),1)</f>
        <v>45505</v>
      </c>
      <c r="L78" s="27" t="n">
        <f aca="false">E78/(1-G78)</f>
        <v>1261.34</v>
      </c>
      <c r="M78" s="27" t="n">
        <f aca="false">E78-I78</f>
        <v>819.87</v>
      </c>
      <c r="N78" s="28" t="n">
        <f aca="false">I78/E78</f>
        <v>0.350000792807649</v>
      </c>
    </row>
    <row r="79" customFormat="false" ht="15" hidden="false" customHeight="false" outlineLevel="0" collapsed="false">
      <c r="A79" s="23" t="s">
        <v>144</v>
      </c>
      <c r="B79" s="23" t="s">
        <v>116</v>
      </c>
      <c r="C79" s="23" t="s">
        <v>95</v>
      </c>
      <c r="D79" s="23" t="s">
        <v>98</v>
      </c>
      <c r="E79" s="23" t="n">
        <v>518.07</v>
      </c>
      <c r="F79" s="23" t="n">
        <v>7</v>
      </c>
      <c r="G79" s="23" t="n">
        <v>0.05</v>
      </c>
      <c r="H79" s="24" t="n">
        <v>45522</v>
      </c>
      <c r="I79" s="23" t="n">
        <v>172.26</v>
      </c>
      <c r="J79" s="25" t="n">
        <f aca="true">NOW()</f>
        <v>46304.4705747774</v>
      </c>
      <c r="K79" s="26" t="n">
        <f aca="false">DATE(YEAR(H79),MONTH(H79),1)</f>
        <v>45505</v>
      </c>
      <c r="L79" s="27" t="n">
        <f aca="false">E79/(1-G79)</f>
        <v>545.336842105263</v>
      </c>
      <c r="M79" s="27" t="n">
        <f aca="false">E79-I79</f>
        <v>345.81</v>
      </c>
      <c r="N79" s="28" t="n">
        <f aca="false">I79/E79</f>
        <v>0.332503329665875</v>
      </c>
    </row>
    <row r="80" customFormat="false" ht="15" hidden="false" customHeight="false" outlineLevel="0" collapsed="false">
      <c r="A80" s="23" t="s">
        <v>101</v>
      </c>
      <c r="B80" s="23" t="s">
        <v>100</v>
      </c>
      <c r="C80" s="23" t="s">
        <v>82</v>
      </c>
      <c r="D80" s="23" t="s">
        <v>110</v>
      </c>
      <c r="E80" s="23" t="n">
        <v>1111.34</v>
      </c>
      <c r="F80" s="23" t="n">
        <v>1</v>
      </c>
      <c r="G80" s="23" t="n">
        <v>0</v>
      </c>
      <c r="H80" s="24" t="n">
        <v>45523</v>
      </c>
      <c r="I80" s="23" t="n">
        <v>500.1</v>
      </c>
      <c r="J80" s="25" t="n">
        <f aca="true">NOW()</f>
        <v>46304.4705747774</v>
      </c>
      <c r="K80" s="26" t="n">
        <f aca="false">DATE(YEAR(H80),MONTH(H80),1)</f>
        <v>45505</v>
      </c>
      <c r="L80" s="27" t="n">
        <f aca="false">E80/(1-G80)</f>
        <v>1111.34</v>
      </c>
      <c r="M80" s="27" t="n">
        <f aca="false">E80-I80</f>
        <v>611.24</v>
      </c>
      <c r="N80" s="28" t="n">
        <f aca="false">I80/E80</f>
        <v>0.449997300556086</v>
      </c>
    </row>
    <row r="81" customFormat="false" ht="15" hidden="false" customHeight="false" outlineLevel="0" collapsed="false">
      <c r="A81" s="23" t="s">
        <v>93</v>
      </c>
      <c r="B81" s="23" t="s">
        <v>102</v>
      </c>
      <c r="C81" s="23" t="s">
        <v>89</v>
      </c>
      <c r="D81" s="23" t="s">
        <v>86</v>
      </c>
      <c r="E81" s="23" t="n">
        <v>1291.47</v>
      </c>
      <c r="F81" s="23" t="n">
        <v>18</v>
      </c>
      <c r="G81" s="23" t="n">
        <v>0.1</v>
      </c>
      <c r="H81" s="24" t="n">
        <v>45526</v>
      </c>
      <c r="I81" s="23" t="n">
        <v>581.16</v>
      </c>
      <c r="J81" s="25" t="n">
        <f aca="true">NOW()</f>
        <v>46304.4705747774</v>
      </c>
      <c r="K81" s="26" t="n">
        <f aca="false">DATE(YEAR(H81),MONTH(H81),1)</f>
        <v>45505</v>
      </c>
      <c r="L81" s="27" t="n">
        <f aca="false">E81/(1-G81)</f>
        <v>1434.96666666667</v>
      </c>
      <c r="M81" s="27" t="n">
        <f aca="false">E81-I81</f>
        <v>710.31</v>
      </c>
      <c r="N81" s="28" t="n">
        <f aca="false">I81/E81</f>
        <v>0.449998838532835</v>
      </c>
    </row>
    <row r="82" customFormat="false" ht="15" hidden="false" customHeight="false" outlineLevel="0" collapsed="false">
      <c r="A82" s="23" t="s">
        <v>96</v>
      </c>
      <c r="B82" s="23" t="s">
        <v>126</v>
      </c>
      <c r="C82" s="23" t="s">
        <v>95</v>
      </c>
      <c r="D82" s="23" t="s">
        <v>83</v>
      </c>
      <c r="E82" s="23" t="n">
        <v>679.71</v>
      </c>
      <c r="F82" s="23" t="n">
        <v>19</v>
      </c>
      <c r="G82" s="23" t="n">
        <v>0</v>
      </c>
      <c r="H82" s="24" t="n">
        <v>45534</v>
      </c>
      <c r="I82" s="23" t="n">
        <v>271.88</v>
      </c>
      <c r="J82" s="25" t="n">
        <f aca="true">NOW()</f>
        <v>46304.4705747774</v>
      </c>
      <c r="K82" s="26" t="n">
        <f aca="false">DATE(YEAR(H82),MONTH(H82),1)</f>
        <v>45505</v>
      </c>
      <c r="L82" s="27" t="n">
        <f aca="false">E82/(1-G82)</f>
        <v>679.71</v>
      </c>
      <c r="M82" s="27" t="n">
        <f aca="false">E82-I82</f>
        <v>407.83</v>
      </c>
      <c r="N82" s="28" t="n">
        <f aca="false">I82/E82</f>
        <v>0.399994115137338</v>
      </c>
    </row>
    <row r="83" customFormat="false" ht="15" hidden="false" customHeight="false" outlineLevel="0" collapsed="false">
      <c r="A83" s="23" t="s">
        <v>140</v>
      </c>
      <c r="B83" s="23" t="s">
        <v>104</v>
      </c>
      <c r="C83" s="23" t="s">
        <v>89</v>
      </c>
      <c r="D83" s="23" t="s">
        <v>98</v>
      </c>
      <c r="E83" s="23" t="n">
        <v>1143.69</v>
      </c>
      <c r="F83" s="23" t="n">
        <v>17</v>
      </c>
      <c r="G83" s="23" t="n">
        <v>0</v>
      </c>
      <c r="H83" s="24" t="n">
        <v>45534</v>
      </c>
      <c r="I83" s="23" t="n">
        <v>400.29</v>
      </c>
      <c r="J83" s="25" t="n">
        <f aca="true">NOW()</f>
        <v>46304.4705747774</v>
      </c>
      <c r="K83" s="26" t="n">
        <f aca="false">DATE(YEAR(H83),MONTH(H83),1)</f>
        <v>45505</v>
      </c>
      <c r="L83" s="27" t="n">
        <f aca="false">E83/(1-G83)</f>
        <v>1143.69</v>
      </c>
      <c r="M83" s="27" t="n">
        <f aca="false">E83-I83</f>
        <v>743.4</v>
      </c>
      <c r="N83" s="28" t="n">
        <f aca="false">I83/E83</f>
        <v>0.349998688455788</v>
      </c>
    </row>
    <row r="84" customFormat="false" ht="15" hidden="false" customHeight="false" outlineLevel="0" collapsed="false">
      <c r="A84" s="23" t="s">
        <v>123</v>
      </c>
      <c r="B84" s="23" t="s">
        <v>121</v>
      </c>
      <c r="C84" s="23" t="s">
        <v>105</v>
      </c>
      <c r="D84" s="23" t="s">
        <v>92</v>
      </c>
      <c r="E84" s="23" t="n">
        <v>790.08</v>
      </c>
      <c r="F84" s="23" t="n">
        <v>7</v>
      </c>
      <c r="G84" s="23" t="n">
        <v>0.1</v>
      </c>
      <c r="H84" s="24" t="n">
        <v>45536</v>
      </c>
      <c r="I84" s="23" t="n">
        <v>177.77</v>
      </c>
      <c r="J84" s="25" t="n">
        <f aca="true">NOW()</f>
        <v>46304.4705747774</v>
      </c>
      <c r="K84" s="26" t="n">
        <f aca="false">DATE(YEAR(H84),MONTH(H84),1)</f>
        <v>45536</v>
      </c>
      <c r="L84" s="27" t="n">
        <f aca="false">E84/(1-G84)</f>
        <v>877.866666666667</v>
      </c>
      <c r="M84" s="27" t="n">
        <f aca="false">E84-I84</f>
        <v>612.31</v>
      </c>
      <c r="N84" s="28" t="n">
        <f aca="false">I84/E84</f>
        <v>0.225002531389226</v>
      </c>
    </row>
    <row r="85" customFormat="false" ht="15" hidden="false" customHeight="false" outlineLevel="0" collapsed="false">
      <c r="A85" s="23" t="s">
        <v>90</v>
      </c>
      <c r="B85" s="23" t="s">
        <v>130</v>
      </c>
      <c r="C85" s="23" t="s">
        <v>105</v>
      </c>
      <c r="D85" s="23" t="s">
        <v>83</v>
      </c>
      <c r="E85" s="23" t="n">
        <v>1070.68</v>
      </c>
      <c r="F85" s="23" t="n">
        <v>7</v>
      </c>
      <c r="G85" s="23" t="n">
        <v>0.05</v>
      </c>
      <c r="H85" s="24" t="n">
        <v>45536</v>
      </c>
      <c r="I85" s="23" t="n">
        <v>406.86</v>
      </c>
      <c r="J85" s="25" t="n">
        <f aca="true">NOW()</f>
        <v>46304.4705747774</v>
      </c>
      <c r="K85" s="26" t="n">
        <f aca="false">DATE(YEAR(H85),MONTH(H85),1)</f>
        <v>45536</v>
      </c>
      <c r="L85" s="27" t="n">
        <f aca="false">E85/(1-G85)</f>
        <v>1127.03157894737</v>
      </c>
      <c r="M85" s="27" t="n">
        <f aca="false">E85-I85</f>
        <v>663.82</v>
      </c>
      <c r="N85" s="28" t="n">
        <f aca="false">I85/E85</f>
        <v>0.380001494377405</v>
      </c>
    </row>
    <row r="86" customFormat="false" ht="15" hidden="false" customHeight="false" outlineLevel="0" collapsed="false">
      <c r="A86" s="23" t="s">
        <v>129</v>
      </c>
      <c r="B86" s="23" t="s">
        <v>107</v>
      </c>
      <c r="C86" s="23" t="s">
        <v>82</v>
      </c>
      <c r="D86" s="23" t="s">
        <v>86</v>
      </c>
      <c r="E86" s="23" t="n">
        <v>1168.89</v>
      </c>
      <c r="F86" s="23" t="n">
        <v>4</v>
      </c>
      <c r="G86" s="23" t="n">
        <v>0.1</v>
      </c>
      <c r="H86" s="24" t="n">
        <v>45544</v>
      </c>
      <c r="I86" s="23" t="n">
        <v>526</v>
      </c>
      <c r="J86" s="25" t="n">
        <f aca="true">NOW()</f>
        <v>46304.4705747774</v>
      </c>
      <c r="K86" s="26" t="n">
        <f aca="false">DATE(YEAR(H86),MONTH(H86),1)</f>
        <v>45536</v>
      </c>
      <c r="L86" s="27" t="n">
        <f aca="false">E86/(1-G86)</f>
        <v>1298.76666666667</v>
      </c>
      <c r="M86" s="27" t="n">
        <f aca="false">E86-I86</f>
        <v>642.89</v>
      </c>
      <c r="N86" s="28" t="n">
        <f aca="false">I86/E86</f>
        <v>0.449999572243753</v>
      </c>
    </row>
    <row r="87" customFormat="false" ht="15" hidden="false" customHeight="false" outlineLevel="0" collapsed="false">
      <c r="A87" s="23" t="s">
        <v>139</v>
      </c>
      <c r="B87" s="23" t="s">
        <v>81</v>
      </c>
      <c r="C87" s="23" t="s">
        <v>91</v>
      </c>
      <c r="D87" s="23" t="s">
        <v>92</v>
      </c>
      <c r="E87" s="23" t="n">
        <v>1335.87</v>
      </c>
      <c r="F87" s="23" t="n">
        <v>17</v>
      </c>
      <c r="G87" s="23" t="n">
        <v>0</v>
      </c>
      <c r="H87" s="24" t="n">
        <v>45544</v>
      </c>
      <c r="I87" s="23" t="n">
        <v>333.97</v>
      </c>
      <c r="J87" s="25" t="n">
        <f aca="true">NOW()</f>
        <v>46304.4705747774</v>
      </c>
      <c r="K87" s="26" t="n">
        <f aca="false">DATE(YEAR(H87),MONTH(H87),1)</f>
        <v>45536</v>
      </c>
      <c r="L87" s="27" t="n">
        <f aca="false">E87/(1-G87)</f>
        <v>1335.87</v>
      </c>
      <c r="M87" s="27" t="n">
        <f aca="false">E87-I87</f>
        <v>1001.9</v>
      </c>
      <c r="N87" s="28" t="n">
        <f aca="false">I87/E87</f>
        <v>0.250001871439586</v>
      </c>
    </row>
    <row r="88" customFormat="false" ht="15" hidden="false" customHeight="false" outlineLevel="0" collapsed="false">
      <c r="A88" s="23" t="s">
        <v>111</v>
      </c>
      <c r="B88" s="23" t="s">
        <v>126</v>
      </c>
      <c r="C88" s="23" t="s">
        <v>89</v>
      </c>
      <c r="D88" s="23" t="s">
        <v>98</v>
      </c>
      <c r="E88" s="23" t="n">
        <v>873.7</v>
      </c>
      <c r="F88" s="23" t="n">
        <v>9</v>
      </c>
      <c r="G88" s="23" t="n">
        <v>0</v>
      </c>
      <c r="H88" s="24" t="n">
        <v>45546</v>
      </c>
      <c r="I88" s="23" t="n">
        <v>305.8</v>
      </c>
      <c r="J88" s="25" t="n">
        <f aca="true">NOW()</f>
        <v>46304.4705747774</v>
      </c>
      <c r="K88" s="26" t="n">
        <f aca="false">DATE(YEAR(H88),MONTH(H88),1)</f>
        <v>45536</v>
      </c>
      <c r="L88" s="27" t="n">
        <f aca="false">E88/(1-G88)</f>
        <v>873.7</v>
      </c>
      <c r="M88" s="27" t="n">
        <f aca="false">E88-I88</f>
        <v>567.9</v>
      </c>
      <c r="N88" s="28" t="n">
        <f aca="false">I88/E88</f>
        <v>0.350005722788142</v>
      </c>
    </row>
    <row r="89" customFormat="false" ht="15" hidden="false" customHeight="false" outlineLevel="0" collapsed="false">
      <c r="A89" s="23" t="s">
        <v>144</v>
      </c>
      <c r="B89" s="23" t="s">
        <v>136</v>
      </c>
      <c r="C89" s="23" t="s">
        <v>82</v>
      </c>
      <c r="D89" s="23" t="s">
        <v>110</v>
      </c>
      <c r="E89" s="23" t="n">
        <v>1443.98</v>
      </c>
      <c r="F89" s="23" t="n">
        <v>19</v>
      </c>
      <c r="G89" s="23" t="n">
        <v>0</v>
      </c>
      <c r="H89" s="24" t="n">
        <v>45547</v>
      </c>
      <c r="I89" s="23" t="n">
        <v>649.79</v>
      </c>
      <c r="J89" s="25" t="n">
        <f aca="true">NOW()</f>
        <v>46304.4705747774</v>
      </c>
      <c r="K89" s="26" t="n">
        <f aca="false">DATE(YEAR(H89),MONTH(H89),1)</f>
        <v>45536</v>
      </c>
      <c r="L89" s="27" t="n">
        <f aca="false">E89/(1-G89)</f>
        <v>1443.98</v>
      </c>
      <c r="M89" s="27" t="n">
        <f aca="false">E89-I89</f>
        <v>794.19</v>
      </c>
      <c r="N89" s="28" t="n">
        <f aca="false">I89/E89</f>
        <v>0.449999307469633</v>
      </c>
    </row>
    <row r="90" customFormat="false" ht="15" hidden="false" customHeight="false" outlineLevel="0" collapsed="false">
      <c r="A90" s="23" t="s">
        <v>111</v>
      </c>
      <c r="B90" s="23" t="s">
        <v>94</v>
      </c>
      <c r="C90" s="23" t="s">
        <v>89</v>
      </c>
      <c r="D90" s="23" t="s">
        <v>110</v>
      </c>
      <c r="E90" s="23" t="n">
        <v>1154.33</v>
      </c>
      <c r="F90" s="23" t="n">
        <v>11</v>
      </c>
      <c r="G90" s="23" t="n">
        <v>0.15</v>
      </c>
      <c r="H90" s="24" t="n">
        <v>45549</v>
      </c>
      <c r="I90" s="23" t="n">
        <v>441.53</v>
      </c>
      <c r="J90" s="25" t="n">
        <f aca="true">NOW()</f>
        <v>46304.4705747774</v>
      </c>
      <c r="K90" s="26" t="n">
        <f aca="false">DATE(YEAR(H90),MONTH(H90),1)</f>
        <v>45536</v>
      </c>
      <c r="L90" s="27" t="n">
        <f aca="false">E90/(1-G90)</f>
        <v>1358.03529411765</v>
      </c>
      <c r="M90" s="27" t="n">
        <f aca="false">E90-I90</f>
        <v>712.8</v>
      </c>
      <c r="N90" s="28" t="n">
        <f aca="false">I90/E90</f>
        <v>0.382498938778339</v>
      </c>
    </row>
    <row r="91" customFormat="false" ht="15" hidden="false" customHeight="false" outlineLevel="0" collapsed="false">
      <c r="A91" s="23" t="s">
        <v>120</v>
      </c>
      <c r="B91" s="23" t="s">
        <v>121</v>
      </c>
      <c r="C91" s="23" t="s">
        <v>91</v>
      </c>
      <c r="D91" s="23" t="s">
        <v>83</v>
      </c>
      <c r="E91" s="23" t="n">
        <v>1264.49</v>
      </c>
      <c r="F91" s="23" t="n">
        <v>16</v>
      </c>
      <c r="G91" s="23" t="n">
        <v>0.05</v>
      </c>
      <c r="H91" s="24" t="n">
        <v>45549</v>
      </c>
      <c r="I91" s="23" t="n">
        <v>480.51</v>
      </c>
      <c r="J91" s="25" t="n">
        <f aca="true">NOW()</f>
        <v>46304.4705747774</v>
      </c>
      <c r="K91" s="26" t="n">
        <f aca="false">DATE(YEAR(H91),MONTH(H91),1)</f>
        <v>45536</v>
      </c>
      <c r="L91" s="27" t="n">
        <f aca="false">E91/(1-G91)</f>
        <v>1331.04210526316</v>
      </c>
      <c r="M91" s="27" t="n">
        <f aca="false">E91-I91</f>
        <v>783.98</v>
      </c>
      <c r="N91" s="28" t="n">
        <f aca="false">I91/E91</f>
        <v>0.380003005164137</v>
      </c>
    </row>
    <row r="92" customFormat="false" ht="15" hidden="false" customHeight="false" outlineLevel="0" collapsed="false">
      <c r="A92" s="23" t="s">
        <v>96</v>
      </c>
      <c r="B92" s="23" t="s">
        <v>138</v>
      </c>
      <c r="C92" s="23" t="s">
        <v>82</v>
      </c>
      <c r="D92" s="23" t="s">
        <v>98</v>
      </c>
      <c r="E92" s="23" t="n">
        <v>1101.55</v>
      </c>
      <c r="F92" s="23" t="n">
        <v>4</v>
      </c>
      <c r="G92" s="23" t="n">
        <v>0.1</v>
      </c>
      <c r="H92" s="24" t="n">
        <v>45551</v>
      </c>
      <c r="I92" s="23" t="n">
        <v>346.99</v>
      </c>
      <c r="J92" s="25" t="n">
        <f aca="true">NOW()</f>
        <v>46304.4705747774</v>
      </c>
      <c r="K92" s="26" t="n">
        <f aca="false">DATE(YEAR(H92),MONTH(H92),1)</f>
        <v>45536</v>
      </c>
      <c r="L92" s="27" t="n">
        <f aca="false">E92/(1-G92)</f>
        <v>1223.94444444444</v>
      </c>
      <c r="M92" s="27" t="n">
        <f aca="false">E92-I92</f>
        <v>754.56</v>
      </c>
      <c r="N92" s="28" t="n">
        <f aca="false">I92/E92</f>
        <v>0.31500158867051</v>
      </c>
    </row>
    <row r="93" customFormat="false" ht="15" hidden="false" customHeight="false" outlineLevel="0" collapsed="false">
      <c r="A93" s="23" t="s">
        <v>145</v>
      </c>
      <c r="B93" s="23" t="s">
        <v>85</v>
      </c>
      <c r="C93" s="23" t="s">
        <v>91</v>
      </c>
      <c r="D93" s="23" t="s">
        <v>98</v>
      </c>
      <c r="E93" s="23" t="n">
        <v>727.73</v>
      </c>
      <c r="F93" s="23" t="n">
        <v>1</v>
      </c>
      <c r="G93" s="23" t="n">
        <v>0.1</v>
      </c>
      <c r="H93" s="24" t="n">
        <v>45552</v>
      </c>
      <c r="I93" s="23" t="n">
        <v>229.23</v>
      </c>
      <c r="J93" s="25" t="n">
        <f aca="true">NOW()</f>
        <v>46304.4705747774</v>
      </c>
      <c r="K93" s="26" t="n">
        <f aca="false">DATE(YEAR(H93),MONTH(H93),1)</f>
        <v>45536</v>
      </c>
      <c r="L93" s="27" t="n">
        <f aca="false">E93/(1-G93)</f>
        <v>808.588888888889</v>
      </c>
      <c r="M93" s="27" t="n">
        <f aca="false">E93-I93</f>
        <v>498.5</v>
      </c>
      <c r="N93" s="28" t="n">
        <f aca="false">I93/E93</f>
        <v>0.314993198026741</v>
      </c>
    </row>
    <row r="94" customFormat="false" ht="15" hidden="false" customHeight="false" outlineLevel="0" collapsed="false">
      <c r="A94" s="23" t="s">
        <v>146</v>
      </c>
      <c r="B94" s="23" t="s">
        <v>109</v>
      </c>
      <c r="C94" s="23" t="s">
        <v>89</v>
      </c>
      <c r="D94" s="23" t="s">
        <v>110</v>
      </c>
      <c r="E94" s="23" t="n">
        <v>875.41</v>
      </c>
      <c r="F94" s="23" t="n">
        <v>13</v>
      </c>
      <c r="G94" s="23" t="n">
        <v>0.15</v>
      </c>
      <c r="H94" s="24" t="n">
        <v>45552</v>
      </c>
      <c r="I94" s="23" t="n">
        <v>334.84</v>
      </c>
      <c r="J94" s="25" t="n">
        <f aca="true">NOW()</f>
        <v>46304.4705747774</v>
      </c>
      <c r="K94" s="26" t="n">
        <f aca="false">DATE(YEAR(H94),MONTH(H94),1)</f>
        <v>45536</v>
      </c>
      <c r="L94" s="27" t="n">
        <f aca="false">E94/(1-G94)</f>
        <v>1029.89411764706</v>
      </c>
      <c r="M94" s="27" t="n">
        <f aca="false">E94-I94</f>
        <v>540.57</v>
      </c>
      <c r="N94" s="28" t="n">
        <f aca="false">I94/E94</f>
        <v>0.382495059457854</v>
      </c>
    </row>
    <row r="95" customFormat="false" ht="15" hidden="false" customHeight="false" outlineLevel="0" collapsed="false">
      <c r="A95" s="23" t="s">
        <v>139</v>
      </c>
      <c r="B95" s="23" t="s">
        <v>94</v>
      </c>
      <c r="C95" s="23" t="s">
        <v>82</v>
      </c>
      <c r="D95" s="23" t="s">
        <v>92</v>
      </c>
      <c r="E95" s="23" t="n">
        <v>1158.94</v>
      </c>
      <c r="F95" s="23" t="n">
        <v>19</v>
      </c>
      <c r="G95" s="23" t="n">
        <v>0.2</v>
      </c>
      <c r="H95" s="24" t="n">
        <v>45553</v>
      </c>
      <c r="I95" s="23" t="n">
        <v>231.79</v>
      </c>
      <c r="J95" s="25" t="n">
        <f aca="true">NOW()</f>
        <v>46304.4705747774</v>
      </c>
      <c r="K95" s="26" t="n">
        <f aca="false">DATE(YEAR(H95),MONTH(H95),1)</f>
        <v>45536</v>
      </c>
      <c r="L95" s="27" t="n">
        <f aca="false">E95/(1-G95)</f>
        <v>1448.675</v>
      </c>
      <c r="M95" s="27" t="n">
        <f aca="false">E95-I95</f>
        <v>927.15</v>
      </c>
      <c r="N95" s="28" t="n">
        <f aca="false">I95/E95</f>
        <v>0.200001725714877</v>
      </c>
    </row>
    <row r="96" customFormat="false" ht="15" hidden="false" customHeight="false" outlineLevel="0" collapsed="false">
      <c r="A96" s="23" t="s">
        <v>147</v>
      </c>
      <c r="B96" s="23" t="s">
        <v>118</v>
      </c>
      <c r="C96" s="23" t="s">
        <v>91</v>
      </c>
      <c r="D96" s="23" t="s">
        <v>83</v>
      </c>
      <c r="E96" s="23" t="n">
        <v>966.3</v>
      </c>
      <c r="F96" s="23" t="n">
        <v>2</v>
      </c>
      <c r="G96" s="23" t="n">
        <v>0.15</v>
      </c>
      <c r="H96" s="24" t="n">
        <v>45557</v>
      </c>
      <c r="I96" s="23" t="n">
        <v>328.54</v>
      </c>
      <c r="J96" s="25" t="n">
        <f aca="true">NOW()</f>
        <v>46304.4705747774</v>
      </c>
      <c r="K96" s="26" t="n">
        <f aca="false">DATE(YEAR(H96),MONTH(H96),1)</f>
        <v>45536</v>
      </c>
      <c r="L96" s="27" t="n">
        <f aca="false">E96/(1-G96)</f>
        <v>1136.82352941176</v>
      </c>
      <c r="M96" s="27" t="n">
        <f aca="false">E96-I96</f>
        <v>637.76</v>
      </c>
      <c r="N96" s="28" t="n">
        <f aca="false">I96/E96</f>
        <v>0.339997930249405</v>
      </c>
    </row>
    <row r="97" customFormat="false" ht="15" hidden="false" customHeight="false" outlineLevel="0" collapsed="false">
      <c r="A97" s="23" t="s">
        <v>140</v>
      </c>
      <c r="B97" s="23" t="s">
        <v>88</v>
      </c>
      <c r="C97" s="23" t="s">
        <v>91</v>
      </c>
      <c r="D97" s="23" t="s">
        <v>83</v>
      </c>
      <c r="E97" s="23" t="n">
        <v>917.48</v>
      </c>
      <c r="F97" s="23" t="n">
        <v>6</v>
      </c>
      <c r="G97" s="23" t="n">
        <v>0</v>
      </c>
      <c r="H97" s="24" t="n">
        <v>45558</v>
      </c>
      <c r="I97" s="23" t="n">
        <v>366.99</v>
      </c>
      <c r="J97" s="25" t="n">
        <f aca="true">NOW()</f>
        <v>46304.4705747774</v>
      </c>
      <c r="K97" s="26" t="n">
        <f aca="false">DATE(YEAR(H97),MONTH(H97),1)</f>
        <v>45536</v>
      </c>
      <c r="L97" s="27" t="n">
        <f aca="false">E97/(1-G97)</f>
        <v>917.48</v>
      </c>
      <c r="M97" s="27" t="n">
        <f aca="false">E97-I97</f>
        <v>550.49</v>
      </c>
      <c r="N97" s="28" t="n">
        <f aca="false">I97/E97</f>
        <v>0.39999782011597</v>
      </c>
    </row>
    <row r="98" customFormat="false" ht="15" hidden="false" customHeight="false" outlineLevel="0" collapsed="false">
      <c r="A98" s="23" t="s">
        <v>112</v>
      </c>
      <c r="B98" s="23" t="s">
        <v>133</v>
      </c>
      <c r="C98" s="23" t="s">
        <v>82</v>
      </c>
      <c r="D98" s="23" t="s">
        <v>98</v>
      </c>
      <c r="E98" s="23" t="n">
        <v>1172.97</v>
      </c>
      <c r="F98" s="23" t="n">
        <v>7</v>
      </c>
      <c r="G98" s="23" t="n">
        <v>0.15</v>
      </c>
      <c r="H98" s="24" t="n">
        <v>45559</v>
      </c>
      <c r="I98" s="23" t="n">
        <v>348.96</v>
      </c>
      <c r="J98" s="25" t="n">
        <f aca="true">NOW()</f>
        <v>46304.4705747774</v>
      </c>
      <c r="K98" s="26" t="n">
        <f aca="false">DATE(YEAR(H98),MONTH(H98),1)</f>
        <v>45536</v>
      </c>
      <c r="L98" s="27" t="n">
        <f aca="false">E98/(1-G98)</f>
        <v>1379.96470588235</v>
      </c>
      <c r="M98" s="27" t="n">
        <f aca="false">E98-I98</f>
        <v>824.01</v>
      </c>
      <c r="N98" s="28" t="n">
        <f aca="false">I98/E98</f>
        <v>0.29750121486483</v>
      </c>
    </row>
    <row r="99" customFormat="false" ht="15" hidden="false" customHeight="false" outlineLevel="0" collapsed="false">
      <c r="A99" s="23" t="s">
        <v>128</v>
      </c>
      <c r="B99" s="23" t="s">
        <v>94</v>
      </c>
      <c r="C99" s="23" t="s">
        <v>95</v>
      </c>
      <c r="D99" s="23" t="s">
        <v>86</v>
      </c>
      <c r="E99" s="23" t="n">
        <v>1205.82</v>
      </c>
      <c r="F99" s="23" t="n">
        <v>11</v>
      </c>
      <c r="G99" s="23" t="n">
        <v>0.1</v>
      </c>
      <c r="H99" s="24" t="n">
        <v>45559</v>
      </c>
      <c r="I99" s="23" t="n">
        <v>542.62</v>
      </c>
      <c r="J99" s="25" t="n">
        <f aca="true">NOW()</f>
        <v>46304.4705747774</v>
      </c>
      <c r="K99" s="26" t="n">
        <f aca="false">DATE(YEAR(H99),MONTH(H99),1)</f>
        <v>45536</v>
      </c>
      <c r="L99" s="27" t="n">
        <f aca="false">E99/(1-G99)</f>
        <v>1339.8</v>
      </c>
      <c r="M99" s="27" t="n">
        <f aca="false">E99-I99</f>
        <v>663.2</v>
      </c>
      <c r="N99" s="28" t="n">
        <f aca="false">I99/E99</f>
        <v>0.450000829311174</v>
      </c>
    </row>
    <row r="100" customFormat="false" ht="15" hidden="false" customHeight="false" outlineLevel="0" collapsed="false">
      <c r="A100" s="23" t="s">
        <v>87</v>
      </c>
      <c r="B100" s="23" t="s">
        <v>136</v>
      </c>
      <c r="C100" s="23" t="s">
        <v>82</v>
      </c>
      <c r="D100" s="23" t="s">
        <v>110</v>
      </c>
      <c r="E100" s="23" t="n">
        <v>826.93</v>
      </c>
      <c r="F100" s="23" t="n">
        <v>10</v>
      </c>
      <c r="G100" s="23" t="n">
        <v>0.2</v>
      </c>
      <c r="H100" s="24" t="n">
        <v>45564</v>
      </c>
      <c r="I100" s="23" t="n">
        <v>297.69</v>
      </c>
      <c r="J100" s="25" t="n">
        <f aca="true">NOW()</f>
        <v>46304.4705747774</v>
      </c>
      <c r="K100" s="26" t="n">
        <f aca="false">DATE(YEAR(H100),MONTH(H100),1)</f>
        <v>45536</v>
      </c>
      <c r="L100" s="27" t="n">
        <f aca="false">E100/(1-G100)</f>
        <v>1033.6625</v>
      </c>
      <c r="M100" s="27" t="n">
        <f aca="false">E100-I100</f>
        <v>529.24</v>
      </c>
      <c r="N100" s="28" t="n">
        <f aca="false">I100/E100</f>
        <v>0.359994195397434</v>
      </c>
    </row>
    <row r="101" customFormat="false" ht="15" hidden="false" customHeight="false" outlineLevel="0" collapsed="false">
      <c r="A101" s="23" t="s">
        <v>139</v>
      </c>
      <c r="B101" s="23" t="s">
        <v>94</v>
      </c>
      <c r="C101" s="23" t="s">
        <v>105</v>
      </c>
      <c r="D101" s="23" t="s">
        <v>86</v>
      </c>
      <c r="E101" s="23" t="n">
        <v>902.19</v>
      </c>
      <c r="F101" s="23" t="n">
        <v>12</v>
      </c>
      <c r="G101" s="23" t="n">
        <v>0</v>
      </c>
      <c r="H101" s="24" t="n">
        <v>45564</v>
      </c>
      <c r="I101" s="23" t="n">
        <v>451.1</v>
      </c>
      <c r="J101" s="25" t="n">
        <f aca="true">NOW()</f>
        <v>46304.4705747774</v>
      </c>
      <c r="K101" s="26" t="n">
        <f aca="false">DATE(YEAR(H101),MONTH(H101),1)</f>
        <v>45536</v>
      </c>
      <c r="L101" s="27" t="n">
        <f aca="false">E101/(1-G101)</f>
        <v>902.19</v>
      </c>
      <c r="M101" s="27" t="n">
        <f aca="false">E101-I101</f>
        <v>451.09</v>
      </c>
      <c r="N101" s="28" t="n">
        <f aca="false">I101/E101</f>
        <v>0.500005542069852</v>
      </c>
    </row>
    <row r="102" customFormat="false" ht="15" hidden="false" customHeight="false" outlineLevel="0" collapsed="false">
      <c r="A102" s="23" t="s">
        <v>146</v>
      </c>
      <c r="B102" s="23" t="s">
        <v>109</v>
      </c>
      <c r="C102" s="23" t="s">
        <v>95</v>
      </c>
      <c r="D102" s="23" t="s">
        <v>83</v>
      </c>
      <c r="E102" s="23" t="n">
        <v>585.97</v>
      </c>
      <c r="F102" s="23" t="n">
        <v>17</v>
      </c>
      <c r="G102" s="23" t="n">
        <v>0.1</v>
      </c>
      <c r="H102" s="24" t="n">
        <v>45565</v>
      </c>
      <c r="I102" s="23" t="n">
        <v>210.95</v>
      </c>
      <c r="J102" s="25" t="n">
        <f aca="true">NOW()</f>
        <v>46304.4705747774</v>
      </c>
      <c r="K102" s="26" t="n">
        <f aca="false">DATE(YEAR(H102),MONTH(H102),1)</f>
        <v>45536</v>
      </c>
      <c r="L102" s="27" t="n">
        <f aca="false">E102/(1-G102)</f>
        <v>651.077777777778</v>
      </c>
      <c r="M102" s="27" t="n">
        <f aca="false">E102-I102</f>
        <v>375.02</v>
      </c>
      <c r="N102" s="28" t="n">
        <f aca="false">I102/E102</f>
        <v>0.360001365257607</v>
      </c>
    </row>
    <row r="103" customFormat="false" ht="15" hidden="false" customHeight="false" outlineLevel="0" collapsed="false">
      <c r="A103" s="23" t="s">
        <v>132</v>
      </c>
      <c r="B103" s="23" t="s">
        <v>97</v>
      </c>
      <c r="C103" s="23" t="s">
        <v>95</v>
      </c>
      <c r="D103" s="23" t="s">
        <v>86</v>
      </c>
      <c r="E103" s="23" t="n">
        <v>990.19</v>
      </c>
      <c r="F103" s="23" t="n">
        <v>8</v>
      </c>
      <c r="G103" s="23" t="n">
        <v>0.1</v>
      </c>
      <c r="H103" s="24" t="n">
        <v>45565</v>
      </c>
      <c r="I103" s="23" t="n">
        <v>445.59</v>
      </c>
      <c r="J103" s="25" t="n">
        <f aca="true">NOW()</f>
        <v>46304.4705747774</v>
      </c>
      <c r="K103" s="26" t="n">
        <f aca="false">DATE(YEAR(H103),MONTH(H103),1)</f>
        <v>45536</v>
      </c>
      <c r="L103" s="27" t="n">
        <f aca="false">E103/(1-G103)</f>
        <v>1100.21111111111</v>
      </c>
      <c r="M103" s="27" t="n">
        <f aca="false">E103-I103</f>
        <v>544.6</v>
      </c>
      <c r="N103" s="28" t="n">
        <f aca="false">I103/E103</f>
        <v>0.450004544582353</v>
      </c>
    </row>
    <row r="104" customFormat="false" ht="15" hidden="false" customHeight="false" outlineLevel="0" collapsed="false">
      <c r="A104" s="23" t="s">
        <v>115</v>
      </c>
      <c r="B104" s="23" t="s">
        <v>127</v>
      </c>
      <c r="C104" s="23" t="s">
        <v>105</v>
      </c>
      <c r="D104" s="23" t="s">
        <v>92</v>
      </c>
      <c r="E104" s="23" t="n">
        <v>1014.09</v>
      </c>
      <c r="F104" s="23" t="n">
        <v>13</v>
      </c>
      <c r="G104" s="23" t="n">
        <v>0.2</v>
      </c>
      <c r="H104" s="24" t="n">
        <v>45567</v>
      </c>
      <c r="I104" s="23" t="n">
        <v>202.82</v>
      </c>
      <c r="J104" s="25" t="n">
        <f aca="true">NOW()</f>
        <v>46304.4705747774</v>
      </c>
      <c r="K104" s="26" t="n">
        <f aca="false">DATE(YEAR(H104),MONTH(H104),1)</f>
        <v>45566</v>
      </c>
      <c r="L104" s="27" t="n">
        <f aca="false">E104/(1-G104)</f>
        <v>1267.6125</v>
      </c>
      <c r="M104" s="27" t="n">
        <f aca="false">E104-I104</f>
        <v>811.27</v>
      </c>
      <c r="N104" s="28" t="n">
        <f aca="false">I104/E104</f>
        <v>0.200001972211539</v>
      </c>
    </row>
    <row r="105" customFormat="false" ht="15" hidden="false" customHeight="false" outlineLevel="0" collapsed="false">
      <c r="A105" s="23" t="s">
        <v>84</v>
      </c>
      <c r="B105" s="23" t="s">
        <v>130</v>
      </c>
      <c r="C105" s="23" t="s">
        <v>95</v>
      </c>
      <c r="D105" s="23" t="s">
        <v>92</v>
      </c>
      <c r="E105" s="23" t="n">
        <v>925.29</v>
      </c>
      <c r="F105" s="23" t="n">
        <v>17</v>
      </c>
      <c r="G105" s="23" t="n">
        <v>0</v>
      </c>
      <c r="H105" s="24" t="n">
        <v>45570</v>
      </c>
      <c r="I105" s="23" t="n">
        <v>231.32</v>
      </c>
      <c r="J105" s="25" t="n">
        <f aca="true">NOW()</f>
        <v>46304.4705747774</v>
      </c>
      <c r="K105" s="26" t="n">
        <f aca="false">DATE(YEAR(H105),MONTH(H105),1)</f>
        <v>45566</v>
      </c>
      <c r="L105" s="27" t="n">
        <f aca="false">E105/(1-G105)</f>
        <v>925.29</v>
      </c>
      <c r="M105" s="27" t="n">
        <f aca="false">E105-I105</f>
        <v>693.97</v>
      </c>
      <c r="N105" s="28" t="n">
        <f aca="false">I105/E105</f>
        <v>0.249997298144366</v>
      </c>
    </row>
    <row r="106" customFormat="false" ht="15" hidden="false" customHeight="false" outlineLevel="0" collapsed="false">
      <c r="A106" s="23" t="s">
        <v>125</v>
      </c>
      <c r="B106" s="23" t="s">
        <v>118</v>
      </c>
      <c r="C106" s="23" t="s">
        <v>89</v>
      </c>
      <c r="D106" s="23" t="s">
        <v>98</v>
      </c>
      <c r="E106" s="23" t="n">
        <v>1286.54</v>
      </c>
      <c r="F106" s="23" t="n">
        <v>8</v>
      </c>
      <c r="G106" s="23" t="n">
        <v>0</v>
      </c>
      <c r="H106" s="24" t="n">
        <v>45575</v>
      </c>
      <c r="I106" s="23" t="n">
        <v>450.29</v>
      </c>
      <c r="J106" s="25" t="n">
        <f aca="true">NOW()</f>
        <v>46304.4705747774</v>
      </c>
      <c r="K106" s="26" t="n">
        <f aca="false">DATE(YEAR(H106),MONTH(H106),1)</f>
        <v>45566</v>
      </c>
      <c r="L106" s="27" t="n">
        <f aca="false">E106/(1-G106)</f>
        <v>1286.54</v>
      </c>
      <c r="M106" s="27" t="n">
        <f aca="false">E106-I106</f>
        <v>836.25</v>
      </c>
      <c r="N106" s="28" t="n">
        <f aca="false">I106/E106</f>
        <v>0.350000777278592</v>
      </c>
    </row>
    <row r="107" customFormat="false" ht="15" hidden="false" customHeight="false" outlineLevel="0" collapsed="false">
      <c r="A107" s="23" t="s">
        <v>108</v>
      </c>
      <c r="B107" s="23" t="s">
        <v>136</v>
      </c>
      <c r="C107" s="23" t="s">
        <v>91</v>
      </c>
      <c r="D107" s="23" t="s">
        <v>83</v>
      </c>
      <c r="E107" s="23" t="n">
        <v>961.62</v>
      </c>
      <c r="F107" s="23" t="n">
        <v>8</v>
      </c>
      <c r="G107" s="23" t="n">
        <v>0.2</v>
      </c>
      <c r="H107" s="24" t="n">
        <v>45577</v>
      </c>
      <c r="I107" s="23" t="n">
        <v>307.72</v>
      </c>
      <c r="J107" s="25" t="n">
        <f aca="true">NOW()</f>
        <v>46304.4705747774</v>
      </c>
      <c r="K107" s="26" t="n">
        <f aca="false">DATE(YEAR(H107),MONTH(H107),1)</f>
        <v>45566</v>
      </c>
      <c r="L107" s="27" t="n">
        <f aca="false">E107/(1-G107)</f>
        <v>1202.025</v>
      </c>
      <c r="M107" s="27" t="n">
        <f aca="false">E107-I107</f>
        <v>653.9</v>
      </c>
      <c r="N107" s="28" t="n">
        <f aca="false">I107/E107</f>
        <v>0.320001663858905</v>
      </c>
    </row>
    <row r="108" customFormat="false" ht="15" hidden="false" customHeight="false" outlineLevel="0" collapsed="false">
      <c r="A108" s="23" t="s">
        <v>115</v>
      </c>
      <c r="B108" s="23" t="s">
        <v>94</v>
      </c>
      <c r="C108" s="23" t="s">
        <v>89</v>
      </c>
      <c r="D108" s="23" t="s">
        <v>83</v>
      </c>
      <c r="E108" s="23" t="n">
        <v>1081.14</v>
      </c>
      <c r="F108" s="23" t="n">
        <v>19</v>
      </c>
      <c r="G108" s="23" t="n">
        <v>0.15</v>
      </c>
      <c r="H108" s="24" t="n">
        <v>45577</v>
      </c>
      <c r="I108" s="23" t="n">
        <v>367.59</v>
      </c>
      <c r="J108" s="25" t="n">
        <f aca="true">NOW()</f>
        <v>46304.4705747774</v>
      </c>
      <c r="K108" s="26" t="n">
        <f aca="false">DATE(YEAR(H108),MONTH(H108),1)</f>
        <v>45566</v>
      </c>
      <c r="L108" s="27" t="n">
        <f aca="false">E108/(1-G108)</f>
        <v>1271.92941176471</v>
      </c>
      <c r="M108" s="27" t="n">
        <f aca="false">E108-I108</f>
        <v>713.55</v>
      </c>
      <c r="N108" s="28" t="n">
        <f aca="false">I108/E108</f>
        <v>0.340002219879017</v>
      </c>
    </row>
    <row r="109" customFormat="false" ht="15" hidden="false" customHeight="false" outlineLevel="0" collapsed="false">
      <c r="A109" s="23" t="s">
        <v>129</v>
      </c>
      <c r="B109" s="23" t="s">
        <v>94</v>
      </c>
      <c r="C109" s="23" t="s">
        <v>82</v>
      </c>
      <c r="D109" s="23" t="s">
        <v>86</v>
      </c>
      <c r="E109" s="23" t="n">
        <v>1923.66</v>
      </c>
      <c r="F109" s="23" t="n">
        <v>9</v>
      </c>
      <c r="G109" s="23" t="n">
        <v>0.2</v>
      </c>
      <c r="H109" s="24" t="n">
        <v>45580</v>
      </c>
      <c r="I109" s="23" t="n">
        <v>769.46</v>
      </c>
      <c r="J109" s="25" t="n">
        <f aca="true">NOW()</f>
        <v>46304.4705747774</v>
      </c>
      <c r="K109" s="26" t="n">
        <f aca="false">DATE(YEAR(H109),MONTH(H109),1)</f>
        <v>45566</v>
      </c>
      <c r="L109" s="27" t="n">
        <f aca="false">E109/(1-G109)</f>
        <v>2404.575</v>
      </c>
      <c r="M109" s="27" t="n">
        <f aca="false">E109-I109</f>
        <v>1154.2</v>
      </c>
      <c r="N109" s="28" t="n">
        <f aca="false">I109/E109</f>
        <v>0.399997920630465</v>
      </c>
    </row>
    <row r="110" customFormat="false" ht="15" hidden="false" customHeight="false" outlineLevel="0" collapsed="false">
      <c r="A110" s="23" t="s">
        <v>125</v>
      </c>
      <c r="B110" s="23" t="s">
        <v>138</v>
      </c>
      <c r="C110" s="23" t="s">
        <v>105</v>
      </c>
      <c r="D110" s="23" t="s">
        <v>86</v>
      </c>
      <c r="E110" s="23" t="n">
        <v>728.71</v>
      </c>
      <c r="F110" s="23" t="n">
        <v>14</v>
      </c>
      <c r="G110" s="23" t="n">
        <v>0.1</v>
      </c>
      <c r="H110" s="24" t="n">
        <v>45581</v>
      </c>
      <c r="I110" s="23" t="n">
        <v>327.92</v>
      </c>
      <c r="J110" s="25" t="n">
        <f aca="true">NOW()</f>
        <v>46304.4705747774</v>
      </c>
      <c r="K110" s="26" t="n">
        <f aca="false">DATE(YEAR(H110),MONTH(H110),1)</f>
        <v>45566</v>
      </c>
      <c r="L110" s="27" t="n">
        <f aca="false">E110/(1-G110)</f>
        <v>809.677777777778</v>
      </c>
      <c r="M110" s="27" t="n">
        <f aca="false">E110-I110</f>
        <v>400.79</v>
      </c>
      <c r="N110" s="28" t="n">
        <f aca="false">I110/E110</f>
        <v>0.450000686144008</v>
      </c>
    </row>
    <row r="111" customFormat="false" ht="15" hidden="false" customHeight="false" outlineLevel="0" collapsed="false">
      <c r="A111" s="23" t="s">
        <v>80</v>
      </c>
      <c r="B111" s="23" t="s">
        <v>104</v>
      </c>
      <c r="C111" s="23" t="s">
        <v>105</v>
      </c>
      <c r="D111" s="23" t="s">
        <v>86</v>
      </c>
      <c r="E111" s="23" t="n">
        <v>1301.89</v>
      </c>
      <c r="F111" s="23" t="n">
        <v>7</v>
      </c>
      <c r="G111" s="23" t="n">
        <v>0.15</v>
      </c>
      <c r="H111" s="24" t="n">
        <v>45581</v>
      </c>
      <c r="I111" s="23" t="n">
        <v>553.3</v>
      </c>
      <c r="J111" s="25" t="n">
        <f aca="true">NOW()</f>
        <v>46304.4705747774</v>
      </c>
      <c r="K111" s="26" t="n">
        <f aca="false">DATE(YEAR(H111),MONTH(H111),1)</f>
        <v>45566</v>
      </c>
      <c r="L111" s="27" t="n">
        <f aca="false">E111/(1-G111)</f>
        <v>1531.63529411765</v>
      </c>
      <c r="M111" s="27" t="n">
        <f aca="false">E111-I111</f>
        <v>748.59</v>
      </c>
      <c r="N111" s="28" t="n">
        <f aca="false">I111/E111</f>
        <v>0.424997503629339</v>
      </c>
    </row>
    <row r="112" customFormat="false" ht="15" hidden="false" customHeight="false" outlineLevel="0" collapsed="false">
      <c r="A112" s="23" t="s">
        <v>142</v>
      </c>
      <c r="B112" s="23" t="s">
        <v>138</v>
      </c>
      <c r="C112" s="23" t="s">
        <v>89</v>
      </c>
      <c r="D112" s="23" t="s">
        <v>83</v>
      </c>
      <c r="E112" s="23" t="n">
        <v>980.18</v>
      </c>
      <c r="F112" s="23" t="n">
        <v>16</v>
      </c>
      <c r="G112" s="23" t="n">
        <v>0.1</v>
      </c>
      <c r="H112" s="24" t="n">
        <v>45582</v>
      </c>
      <c r="I112" s="23" t="n">
        <v>352.86</v>
      </c>
      <c r="J112" s="25" t="n">
        <f aca="true">NOW()</f>
        <v>46304.4705747775</v>
      </c>
      <c r="K112" s="26" t="n">
        <f aca="false">DATE(YEAR(H112),MONTH(H112),1)</f>
        <v>45566</v>
      </c>
      <c r="L112" s="27" t="n">
        <f aca="false">E112/(1-G112)</f>
        <v>1089.08888888889</v>
      </c>
      <c r="M112" s="27" t="n">
        <f aca="false">E112-I112</f>
        <v>627.32</v>
      </c>
      <c r="N112" s="28" t="n">
        <f aca="false">I112/E112</f>
        <v>0.359995102940276</v>
      </c>
    </row>
    <row r="113" customFormat="false" ht="15" hidden="false" customHeight="false" outlineLevel="0" collapsed="false">
      <c r="A113" s="23" t="s">
        <v>146</v>
      </c>
      <c r="B113" s="23" t="s">
        <v>94</v>
      </c>
      <c r="C113" s="23" t="s">
        <v>82</v>
      </c>
      <c r="D113" s="23" t="s">
        <v>86</v>
      </c>
      <c r="E113" s="23" t="n">
        <v>697.57</v>
      </c>
      <c r="F113" s="23" t="n">
        <v>17</v>
      </c>
      <c r="G113" s="23" t="n">
        <v>0.1</v>
      </c>
      <c r="H113" s="24" t="n">
        <v>45584</v>
      </c>
      <c r="I113" s="23" t="n">
        <v>313.91</v>
      </c>
      <c r="J113" s="25" t="n">
        <f aca="true">NOW()</f>
        <v>46304.4705747775</v>
      </c>
      <c r="K113" s="26" t="n">
        <f aca="false">DATE(YEAR(H113),MONTH(H113),1)</f>
        <v>45566</v>
      </c>
      <c r="L113" s="27" t="n">
        <f aca="false">E113/(1-G113)</f>
        <v>775.077777777778</v>
      </c>
      <c r="M113" s="27" t="n">
        <f aca="false">E113-I113</f>
        <v>383.66</v>
      </c>
      <c r="N113" s="28" t="n">
        <f aca="false">I113/E113</f>
        <v>0.450005017417607</v>
      </c>
    </row>
    <row r="114" customFormat="false" ht="15" hidden="false" customHeight="false" outlineLevel="0" collapsed="false">
      <c r="A114" s="23" t="s">
        <v>117</v>
      </c>
      <c r="B114" s="23" t="s">
        <v>143</v>
      </c>
      <c r="C114" s="23" t="s">
        <v>82</v>
      </c>
      <c r="D114" s="23" t="s">
        <v>98</v>
      </c>
      <c r="E114" s="23" t="n">
        <v>1193.61</v>
      </c>
      <c r="F114" s="23" t="n">
        <v>1</v>
      </c>
      <c r="G114" s="23" t="n">
        <v>0.15</v>
      </c>
      <c r="H114" s="24" t="n">
        <v>45584</v>
      </c>
      <c r="I114" s="23" t="n">
        <v>355.1</v>
      </c>
      <c r="J114" s="25" t="n">
        <f aca="true">NOW()</f>
        <v>46304.4705747775</v>
      </c>
      <c r="K114" s="26" t="n">
        <f aca="false">DATE(YEAR(H114),MONTH(H114),1)</f>
        <v>45566</v>
      </c>
      <c r="L114" s="27" t="n">
        <f aca="false">E114/(1-G114)</f>
        <v>1404.24705882353</v>
      </c>
      <c r="M114" s="27" t="n">
        <f aca="false">E114-I114</f>
        <v>838.51</v>
      </c>
      <c r="N114" s="28" t="n">
        <f aca="false">I114/E114</f>
        <v>0.297500858739454</v>
      </c>
    </row>
    <row r="115" customFormat="false" ht="15" hidden="false" customHeight="false" outlineLevel="0" collapsed="false">
      <c r="A115" s="23" t="s">
        <v>103</v>
      </c>
      <c r="B115" s="23" t="s">
        <v>109</v>
      </c>
      <c r="C115" s="23" t="s">
        <v>91</v>
      </c>
      <c r="D115" s="23" t="s">
        <v>92</v>
      </c>
      <c r="E115" s="23" t="n">
        <v>771.02</v>
      </c>
      <c r="F115" s="23" t="n">
        <v>1</v>
      </c>
      <c r="G115" s="23" t="n">
        <v>0</v>
      </c>
      <c r="H115" s="24" t="n">
        <v>45585</v>
      </c>
      <c r="I115" s="23" t="n">
        <v>192.76</v>
      </c>
      <c r="J115" s="25" t="n">
        <f aca="true">NOW()</f>
        <v>46304.4705747775</v>
      </c>
      <c r="K115" s="26" t="n">
        <f aca="false">DATE(YEAR(H115),MONTH(H115),1)</f>
        <v>45566</v>
      </c>
      <c r="L115" s="27" t="n">
        <f aca="false">E115/(1-G115)</f>
        <v>771.02</v>
      </c>
      <c r="M115" s="27" t="n">
        <f aca="false">E115-I115</f>
        <v>578.26</v>
      </c>
      <c r="N115" s="28" t="n">
        <f aca="false">I115/E115</f>
        <v>0.250006484916085</v>
      </c>
    </row>
    <row r="116" customFormat="false" ht="15" hidden="false" customHeight="false" outlineLevel="0" collapsed="false">
      <c r="A116" s="23" t="s">
        <v>139</v>
      </c>
      <c r="B116" s="23" t="s">
        <v>141</v>
      </c>
      <c r="C116" s="23" t="s">
        <v>95</v>
      </c>
      <c r="D116" s="23" t="s">
        <v>86</v>
      </c>
      <c r="E116" s="23" t="n">
        <v>661.09</v>
      </c>
      <c r="F116" s="23" t="n">
        <v>1</v>
      </c>
      <c r="G116" s="23" t="n">
        <v>0.2</v>
      </c>
      <c r="H116" s="24" t="n">
        <v>45593</v>
      </c>
      <c r="I116" s="23" t="n">
        <v>264.44</v>
      </c>
      <c r="J116" s="25" t="n">
        <f aca="true">NOW()</f>
        <v>46304.4705747775</v>
      </c>
      <c r="K116" s="26" t="n">
        <f aca="false">DATE(YEAR(H116),MONTH(H116),1)</f>
        <v>45566</v>
      </c>
      <c r="L116" s="27" t="n">
        <f aca="false">E116/(1-G116)</f>
        <v>826.3625</v>
      </c>
      <c r="M116" s="27" t="n">
        <f aca="false">E116-I116</f>
        <v>396.65</v>
      </c>
      <c r="N116" s="28" t="n">
        <f aca="false">I116/E116</f>
        <v>0.400006050613381</v>
      </c>
    </row>
    <row r="117" customFormat="false" ht="15" hidden="false" customHeight="false" outlineLevel="0" collapsed="false">
      <c r="A117" s="23" t="s">
        <v>84</v>
      </c>
      <c r="B117" s="23" t="s">
        <v>126</v>
      </c>
      <c r="C117" s="23" t="s">
        <v>82</v>
      </c>
      <c r="D117" s="23" t="s">
        <v>92</v>
      </c>
      <c r="E117" s="23" t="n">
        <v>688.83</v>
      </c>
      <c r="F117" s="23" t="n">
        <v>15</v>
      </c>
      <c r="G117" s="23" t="n">
        <v>0</v>
      </c>
      <c r="H117" s="24" t="n">
        <v>45595</v>
      </c>
      <c r="I117" s="23" t="n">
        <v>172.21</v>
      </c>
      <c r="J117" s="25" t="n">
        <f aca="true">NOW()</f>
        <v>46304.4705747775</v>
      </c>
      <c r="K117" s="26" t="n">
        <f aca="false">DATE(YEAR(H117),MONTH(H117),1)</f>
        <v>45566</v>
      </c>
      <c r="L117" s="27" t="n">
        <f aca="false">E117/(1-G117)</f>
        <v>688.83</v>
      </c>
      <c r="M117" s="27" t="n">
        <f aca="false">E117-I117</f>
        <v>516.62</v>
      </c>
      <c r="N117" s="28" t="n">
        <f aca="false">I117/E117</f>
        <v>0.250003629342508</v>
      </c>
    </row>
    <row r="118" customFormat="false" ht="15" hidden="false" customHeight="false" outlineLevel="0" collapsed="false">
      <c r="A118" s="23" t="s">
        <v>145</v>
      </c>
      <c r="B118" s="23" t="s">
        <v>100</v>
      </c>
      <c r="C118" s="23" t="s">
        <v>105</v>
      </c>
      <c r="D118" s="23" t="s">
        <v>83</v>
      </c>
      <c r="E118" s="23" t="n">
        <v>1249.1</v>
      </c>
      <c r="F118" s="23" t="n">
        <v>4</v>
      </c>
      <c r="G118" s="23" t="n">
        <v>0.05</v>
      </c>
      <c r="H118" s="24" t="n">
        <v>45597</v>
      </c>
      <c r="I118" s="23" t="n">
        <v>474.66</v>
      </c>
      <c r="J118" s="25" t="n">
        <f aca="true">NOW()</f>
        <v>46304.4705747775</v>
      </c>
      <c r="K118" s="26" t="n">
        <f aca="false">DATE(YEAR(H118),MONTH(H118),1)</f>
        <v>45597</v>
      </c>
      <c r="L118" s="27" t="n">
        <f aca="false">E118/(1-G118)</f>
        <v>1314.84210526316</v>
      </c>
      <c r="M118" s="27" t="n">
        <f aca="false">E118-I118</f>
        <v>774.44</v>
      </c>
      <c r="N118" s="28" t="n">
        <f aca="false">I118/E118</f>
        <v>0.38000160115283</v>
      </c>
    </row>
    <row r="119" customFormat="false" ht="15" hidden="false" customHeight="false" outlineLevel="0" collapsed="false">
      <c r="A119" s="23" t="s">
        <v>115</v>
      </c>
      <c r="B119" s="23" t="s">
        <v>94</v>
      </c>
      <c r="C119" s="23" t="s">
        <v>89</v>
      </c>
      <c r="D119" s="23" t="s">
        <v>110</v>
      </c>
      <c r="E119" s="23" t="n">
        <v>1014.22</v>
      </c>
      <c r="F119" s="23" t="n">
        <v>14</v>
      </c>
      <c r="G119" s="23" t="n">
        <v>0.05</v>
      </c>
      <c r="H119" s="24" t="n">
        <v>45599</v>
      </c>
      <c r="I119" s="23" t="n">
        <v>433.58</v>
      </c>
      <c r="J119" s="25" t="n">
        <f aca="true">NOW()</f>
        <v>46304.4705747775</v>
      </c>
      <c r="K119" s="26" t="n">
        <f aca="false">DATE(YEAR(H119),MONTH(H119),1)</f>
        <v>45597</v>
      </c>
      <c r="L119" s="27" t="n">
        <f aca="false">E119/(1-G119)</f>
        <v>1067.6</v>
      </c>
      <c r="M119" s="27" t="n">
        <f aca="false">E119-I119</f>
        <v>580.64</v>
      </c>
      <c r="N119" s="28" t="n">
        <f aca="false">I119/E119</f>
        <v>0.427500936680405</v>
      </c>
    </row>
    <row r="120" customFormat="false" ht="15" hidden="false" customHeight="false" outlineLevel="0" collapsed="false">
      <c r="A120" s="23" t="s">
        <v>125</v>
      </c>
      <c r="B120" s="23" t="s">
        <v>130</v>
      </c>
      <c r="C120" s="23" t="s">
        <v>89</v>
      </c>
      <c r="D120" s="23" t="s">
        <v>83</v>
      </c>
      <c r="E120" s="23" t="n">
        <v>1010.58</v>
      </c>
      <c r="F120" s="23" t="n">
        <v>2</v>
      </c>
      <c r="G120" s="23" t="n">
        <v>0.15</v>
      </c>
      <c r="H120" s="24" t="n">
        <v>45605</v>
      </c>
      <c r="I120" s="23" t="n">
        <v>343.6</v>
      </c>
      <c r="J120" s="25" t="n">
        <f aca="true">NOW()</f>
        <v>46304.4705747775</v>
      </c>
      <c r="K120" s="26" t="n">
        <f aca="false">DATE(YEAR(H120),MONTH(H120),1)</f>
        <v>45597</v>
      </c>
      <c r="L120" s="27" t="n">
        <f aca="false">E120/(1-G120)</f>
        <v>1188.91764705882</v>
      </c>
      <c r="M120" s="27" t="n">
        <f aca="false">E120-I120</f>
        <v>666.98</v>
      </c>
      <c r="N120" s="28" t="n">
        <f aca="false">I120/E120</f>
        <v>0.340002770686141</v>
      </c>
    </row>
    <row r="121" customFormat="false" ht="15" hidden="false" customHeight="false" outlineLevel="0" collapsed="false">
      <c r="A121" s="23" t="s">
        <v>101</v>
      </c>
      <c r="B121" s="23" t="s">
        <v>131</v>
      </c>
      <c r="C121" s="23" t="s">
        <v>95</v>
      </c>
      <c r="D121" s="23" t="s">
        <v>98</v>
      </c>
      <c r="E121" s="23" t="n">
        <v>957.29</v>
      </c>
      <c r="F121" s="23" t="n">
        <v>4</v>
      </c>
      <c r="G121" s="23" t="n">
        <v>0.05</v>
      </c>
      <c r="H121" s="24" t="n">
        <v>45605</v>
      </c>
      <c r="I121" s="23" t="n">
        <v>318.3</v>
      </c>
      <c r="J121" s="25" t="n">
        <f aca="true">NOW()</f>
        <v>46304.4705747775</v>
      </c>
      <c r="K121" s="26" t="n">
        <f aca="false">DATE(YEAR(H121),MONTH(H121),1)</f>
        <v>45597</v>
      </c>
      <c r="L121" s="27" t="n">
        <f aca="false">E121/(1-G121)</f>
        <v>1007.67368421053</v>
      </c>
      <c r="M121" s="27" t="n">
        <f aca="false">E121-I121</f>
        <v>638.99</v>
      </c>
      <c r="N121" s="28" t="n">
        <f aca="false">I121/E121</f>
        <v>0.332501122961694</v>
      </c>
    </row>
    <row r="122" customFormat="false" ht="15" hidden="false" customHeight="false" outlineLevel="0" collapsed="false">
      <c r="A122" s="23" t="s">
        <v>99</v>
      </c>
      <c r="B122" s="23" t="s">
        <v>116</v>
      </c>
      <c r="C122" s="23" t="s">
        <v>95</v>
      </c>
      <c r="D122" s="23" t="s">
        <v>98</v>
      </c>
      <c r="E122" s="23" t="n">
        <v>1077.92</v>
      </c>
      <c r="F122" s="23" t="n">
        <v>3</v>
      </c>
      <c r="G122" s="23" t="n">
        <v>0.05</v>
      </c>
      <c r="H122" s="24" t="n">
        <v>45608</v>
      </c>
      <c r="I122" s="23" t="n">
        <v>358.41</v>
      </c>
      <c r="J122" s="25" t="n">
        <f aca="true">NOW()</f>
        <v>46304.4705747775</v>
      </c>
      <c r="K122" s="26" t="n">
        <f aca="false">DATE(YEAR(H122),MONTH(H122),1)</f>
        <v>45597</v>
      </c>
      <c r="L122" s="27" t="n">
        <f aca="false">E122/(1-G122)</f>
        <v>1134.65263157895</v>
      </c>
      <c r="M122" s="27" t="n">
        <f aca="false">E122-I122</f>
        <v>719.51</v>
      </c>
      <c r="N122" s="28" t="n">
        <f aca="false">I122/E122</f>
        <v>0.332501484340211</v>
      </c>
    </row>
    <row r="123" customFormat="false" ht="15" hidden="false" customHeight="false" outlineLevel="0" collapsed="false">
      <c r="A123" s="23" t="s">
        <v>123</v>
      </c>
      <c r="B123" s="23" t="s">
        <v>121</v>
      </c>
      <c r="C123" s="23" t="s">
        <v>91</v>
      </c>
      <c r="D123" s="23" t="s">
        <v>86</v>
      </c>
      <c r="E123" s="23" t="n">
        <v>1163.01</v>
      </c>
      <c r="F123" s="23" t="n">
        <v>5</v>
      </c>
      <c r="G123" s="23" t="n">
        <v>0</v>
      </c>
      <c r="H123" s="24" t="n">
        <v>45611</v>
      </c>
      <c r="I123" s="23" t="n">
        <v>581.5</v>
      </c>
      <c r="J123" s="25" t="n">
        <f aca="true">NOW()</f>
        <v>46304.4705747775</v>
      </c>
      <c r="K123" s="26" t="n">
        <f aca="false">DATE(YEAR(H123),MONTH(H123),1)</f>
        <v>45597</v>
      </c>
      <c r="L123" s="27" t="n">
        <f aca="false">E123/(1-G123)</f>
        <v>1163.01</v>
      </c>
      <c r="M123" s="27" t="n">
        <f aca="false">E123-I123</f>
        <v>581.51</v>
      </c>
      <c r="N123" s="28" t="n">
        <f aca="false">I123/E123</f>
        <v>0.499995700810827</v>
      </c>
    </row>
    <row r="124" customFormat="false" ht="15" hidden="false" customHeight="false" outlineLevel="0" collapsed="false">
      <c r="A124" s="23" t="s">
        <v>125</v>
      </c>
      <c r="B124" s="23" t="s">
        <v>116</v>
      </c>
      <c r="C124" s="23" t="s">
        <v>89</v>
      </c>
      <c r="D124" s="23" t="s">
        <v>110</v>
      </c>
      <c r="E124" s="23" t="n">
        <v>1014.56</v>
      </c>
      <c r="F124" s="23" t="n">
        <v>10</v>
      </c>
      <c r="G124" s="23" t="n">
        <v>0.1</v>
      </c>
      <c r="H124" s="24" t="n">
        <v>45612</v>
      </c>
      <c r="I124" s="23" t="n">
        <v>410.9</v>
      </c>
      <c r="J124" s="25" t="n">
        <f aca="true">NOW()</f>
        <v>46304.4705747775</v>
      </c>
      <c r="K124" s="26" t="n">
        <f aca="false">DATE(YEAR(H124),MONTH(H124),1)</f>
        <v>45597</v>
      </c>
      <c r="L124" s="27" t="n">
        <f aca="false">E124/(1-G124)</f>
        <v>1127.28888888889</v>
      </c>
      <c r="M124" s="27" t="n">
        <f aca="false">E124-I124</f>
        <v>603.66</v>
      </c>
      <c r="N124" s="28" t="n">
        <f aca="false">I124/E124</f>
        <v>0.405003154076644</v>
      </c>
    </row>
    <row r="125" customFormat="false" ht="15" hidden="false" customHeight="false" outlineLevel="0" collapsed="false">
      <c r="A125" s="23" t="s">
        <v>80</v>
      </c>
      <c r="B125" s="23" t="s">
        <v>88</v>
      </c>
      <c r="C125" s="23" t="s">
        <v>91</v>
      </c>
      <c r="D125" s="23" t="s">
        <v>92</v>
      </c>
      <c r="E125" s="23" t="n">
        <v>718.04</v>
      </c>
      <c r="F125" s="23" t="n">
        <v>14</v>
      </c>
      <c r="G125" s="23" t="n">
        <v>0</v>
      </c>
      <c r="H125" s="24" t="n">
        <v>45613</v>
      </c>
      <c r="I125" s="23" t="n">
        <v>179.51</v>
      </c>
      <c r="J125" s="25" t="n">
        <f aca="true">NOW()</f>
        <v>46304.4705747775</v>
      </c>
      <c r="K125" s="26" t="n">
        <f aca="false">DATE(YEAR(H125),MONTH(H125),1)</f>
        <v>45597</v>
      </c>
      <c r="L125" s="27" t="n">
        <f aca="false">E125/(1-G125)</f>
        <v>718.04</v>
      </c>
      <c r="M125" s="27" t="n">
        <f aca="false">E125-I125</f>
        <v>538.53</v>
      </c>
      <c r="N125" s="28" t="n">
        <f aca="false">I125/E125</f>
        <v>0.25</v>
      </c>
    </row>
    <row r="126" customFormat="false" ht="15" hidden="false" customHeight="false" outlineLevel="0" collapsed="false">
      <c r="A126" s="23" t="s">
        <v>144</v>
      </c>
      <c r="B126" s="23" t="s">
        <v>88</v>
      </c>
      <c r="C126" s="23" t="s">
        <v>105</v>
      </c>
      <c r="D126" s="23" t="s">
        <v>86</v>
      </c>
      <c r="E126" s="23" t="n">
        <v>1277.85</v>
      </c>
      <c r="F126" s="23" t="n">
        <v>18</v>
      </c>
      <c r="G126" s="23" t="n">
        <v>0.2</v>
      </c>
      <c r="H126" s="24" t="n">
        <v>45613</v>
      </c>
      <c r="I126" s="23" t="n">
        <v>511.14</v>
      </c>
      <c r="J126" s="25" t="n">
        <f aca="true">NOW()</f>
        <v>46304.4705747775</v>
      </c>
      <c r="K126" s="26" t="n">
        <f aca="false">DATE(YEAR(H126),MONTH(H126),1)</f>
        <v>45597</v>
      </c>
      <c r="L126" s="27" t="n">
        <f aca="false">E126/(1-G126)</f>
        <v>1597.3125</v>
      </c>
      <c r="M126" s="27" t="n">
        <f aca="false">E126-I126</f>
        <v>766.71</v>
      </c>
      <c r="N126" s="28" t="n">
        <f aca="false">I126/E126</f>
        <v>0.4</v>
      </c>
    </row>
    <row r="127" customFormat="false" ht="15" hidden="false" customHeight="false" outlineLevel="0" collapsed="false">
      <c r="A127" s="23" t="s">
        <v>142</v>
      </c>
      <c r="B127" s="23" t="s">
        <v>94</v>
      </c>
      <c r="C127" s="23" t="s">
        <v>95</v>
      </c>
      <c r="D127" s="23" t="s">
        <v>92</v>
      </c>
      <c r="E127" s="23" t="n">
        <v>706.73</v>
      </c>
      <c r="F127" s="23" t="n">
        <v>1</v>
      </c>
      <c r="G127" s="23" t="n">
        <v>0.15</v>
      </c>
      <c r="H127" s="24" t="n">
        <v>45613</v>
      </c>
      <c r="I127" s="23" t="n">
        <v>150.18</v>
      </c>
      <c r="J127" s="25" t="n">
        <f aca="true">NOW()</f>
        <v>46304.4705747775</v>
      </c>
      <c r="K127" s="26" t="n">
        <f aca="false">DATE(YEAR(H127),MONTH(H127),1)</f>
        <v>45597</v>
      </c>
      <c r="L127" s="27" t="n">
        <f aca="false">E127/(1-G127)</f>
        <v>831.44705882353</v>
      </c>
      <c r="M127" s="27" t="n">
        <f aca="false">E127-I127</f>
        <v>556.55</v>
      </c>
      <c r="N127" s="28" t="n">
        <f aca="false">I127/E127</f>
        <v>0.212499823129059</v>
      </c>
    </row>
    <row r="128" customFormat="false" ht="15" hidden="false" customHeight="false" outlineLevel="0" collapsed="false">
      <c r="A128" s="23" t="s">
        <v>137</v>
      </c>
      <c r="B128" s="23" t="s">
        <v>121</v>
      </c>
      <c r="C128" s="23" t="s">
        <v>89</v>
      </c>
      <c r="D128" s="23" t="s">
        <v>92</v>
      </c>
      <c r="E128" s="23" t="n">
        <v>1410.59</v>
      </c>
      <c r="F128" s="23" t="n">
        <v>15</v>
      </c>
      <c r="G128" s="23" t="n">
        <v>0</v>
      </c>
      <c r="H128" s="24" t="n">
        <v>45615</v>
      </c>
      <c r="I128" s="23" t="n">
        <v>352.65</v>
      </c>
      <c r="J128" s="25" t="n">
        <f aca="true">NOW()</f>
        <v>46304.4705747775</v>
      </c>
      <c r="K128" s="26" t="n">
        <f aca="false">DATE(YEAR(H128),MONTH(H128),1)</f>
        <v>45597</v>
      </c>
      <c r="L128" s="27" t="n">
        <f aca="false">E128/(1-G128)</f>
        <v>1410.59</v>
      </c>
      <c r="M128" s="27" t="n">
        <f aca="false">E128-I128</f>
        <v>1057.94</v>
      </c>
      <c r="N128" s="28" t="n">
        <f aca="false">I128/E128</f>
        <v>0.250001772308041</v>
      </c>
    </row>
    <row r="129" customFormat="false" ht="15" hidden="false" customHeight="false" outlineLevel="0" collapsed="false">
      <c r="A129" s="23" t="s">
        <v>103</v>
      </c>
      <c r="B129" s="23" t="s">
        <v>133</v>
      </c>
      <c r="C129" s="23" t="s">
        <v>91</v>
      </c>
      <c r="D129" s="23" t="s">
        <v>98</v>
      </c>
      <c r="E129" s="23" t="n">
        <v>1350.33</v>
      </c>
      <c r="F129" s="23" t="n">
        <v>10</v>
      </c>
      <c r="G129" s="23" t="n">
        <v>0</v>
      </c>
      <c r="H129" s="24" t="n">
        <v>45615</v>
      </c>
      <c r="I129" s="23" t="n">
        <v>472.62</v>
      </c>
      <c r="J129" s="25" t="n">
        <f aca="true">NOW()</f>
        <v>46304.4705747775</v>
      </c>
      <c r="K129" s="26" t="n">
        <f aca="false">DATE(YEAR(H129),MONTH(H129),1)</f>
        <v>45597</v>
      </c>
      <c r="L129" s="27" t="n">
        <f aca="false">E129/(1-G129)</f>
        <v>1350.33</v>
      </c>
      <c r="M129" s="27" t="n">
        <f aca="false">E129-I129</f>
        <v>877.71</v>
      </c>
      <c r="N129" s="28" t="n">
        <f aca="false">I129/E129</f>
        <v>0.350003332518718</v>
      </c>
    </row>
    <row r="130" customFormat="false" ht="15" hidden="false" customHeight="false" outlineLevel="0" collapsed="false">
      <c r="A130" s="23" t="s">
        <v>112</v>
      </c>
      <c r="B130" s="23" t="s">
        <v>116</v>
      </c>
      <c r="C130" s="23" t="s">
        <v>89</v>
      </c>
      <c r="D130" s="23" t="s">
        <v>92</v>
      </c>
      <c r="E130" s="23" t="n">
        <v>919.18</v>
      </c>
      <c r="F130" s="23" t="n">
        <v>4</v>
      </c>
      <c r="G130" s="23" t="n">
        <v>0.15</v>
      </c>
      <c r="H130" s="24" t="n">
        <v>45615</v>
      </c>
      <c r="I130" s="23" t="n">
        <v>195.33</v>
      </c>
      <c r="J130" s="25" t="n">
        <f aca="true">NOW()</f>
        <v>46304.4705747775</v>
      </c>
      <c r="K130" s="26" t="n">
        <f aca="false">DATE(YEAR(H130),MONTH(H130),1)</f>
        <v>45597</v>
      </c>
      <c r="L130" s="27" t="n">
        <f aca="false">E130/(1-G130)</f>
        <v>1081.38823529412</v>
      </c>
      <c r="M130" s="27" t="n">
        <f aca="false">E130-I130</f>
        <v>723.85</v>
      </c>
      <c r="N130" s="28" t="n">
        <f aca="false">I130/E130</f>
        <v>0.212504623686329</v>
      </c>
    </row>
    <row r="131" customFormat="false" ht="15" hidden="false" customHeight="false" outlineLevel="0" collapsed="false">
      <c r="A131" s="23" t="s">
        <v>146</v>
      </c>
      <c r="B131" s="23" t="s">
        <v>94</v>
      </c>
      <c r="C131" s="23" t="s">
        <v>82</v>
      </c>
      <c r="D131" s="23" t="s">
        <v>92</v>
      </c>
      <c r="E131" s="23" t="n">
        <v>258.51</v>
      </c>
      <c r="F131" s="23" t="n">
        <v>19</v>
      </c>
      <c r="G131" s="23" t="n">
        <v>0</v>
      </c>
      <c r="H131" s="24" t="n">
        <v>45616</v>
      </c>
      <c r="I131" s="23" t="n">
        <v>64.63</v>
      </c>
      <c r="J131" s="25" t="n">
        <f aca="true">NOW()</f>
        <v>46304.4705747775</v>
      </c>
      <c r="K131" s="26" t="n">
        <f aca="false">DATE(YEAR(H131),MONTH(H131),1)</f>
        <v>45597</v>
      </c>
      <c r="L131" s="27" t="n">
        <f aca="false">E131/(1-G131)</f>
        <v>258.51</v>
      </c>
      <c r="M131" s="27" t="n">
        <f aca="false">E131-I131</f>
        <v>193.88</v>
      </c>
      <c r="N131" s="28" t="n">
        <f aca="false">I131/E131</f>
        <v>0.250009670805772</v>
      </c>
    </row>
    <row r="132" customFormat="false" ht="15" hidden="false" customHeight="false" outlineLevel="0" collapsed="false">
      <c r="A132" s="23" t="s">
        <v>135</v>
      </c>
      <c r="B132" s="23" t="s">
        <v>133</v>
      </c>
      <c r="C132" s="23" t="s">
        <v>89</v>
      </c>
      <c r="D132" s="23" t="s">
        <v>83</v>
      </c>
      <c r="E132" s="23" t="n">
        <v>1213.48</v>
      </c>
      <c r="F132" s="23" t="n">
        <v>5</v>
      </c>
      <c r="G132" s="23" t="n">
        <v>0.05</v>
      </c>
      <c r="H132" s="24" t="n">
        <v>45616</v>
      </c>
      <c r="I132" s="23" t="n">
        <v>461.12</v>
      </c>
      <c r="J132" s="25" t="n">
        <f aca="true">NOW()</f>
        <v>46304.4705747775</v>
      </c>
      <c r="K132" s="26" t="n">
        <f aca="false">DATE(YEAR(H132),MONTH(H132),1)</f>
        <v>45597</v>
      </c>
      <c r="L132" s="27" t="n">
        <f aca="false">E132/(1-G132)</f>
        <v>1277.34736842105</v>
      </c>
      <c r="M132" s="27" t="n">
        <f aca="false">E132-I132</f>
        <v>752.36</v>
      </c>
      <c r="N132" s="28" t="n">
        <f aca="false">I132/E132</f>
        <v>0.379998022217095</v>
      </c>
    </row>
    <row r="133" customFormat="false" ht="15" hidden="false" customHeight="false" outlineLevel="0" collapsed="false">
      <c r="A133" s="23" t="s">
        <v>128</v>
      </c>
      <c r="B133" s="23" t="s">
        <v>109</v>
      </c>
      <c r="C133" s="23" t="s">
        <v>105</v>
      </c>
      <c r="D133" s="23" t="s">
        <v>83</v>
      </c>
      <c r="E133" s="23" t="n">
        <v>1150.28</v>
      </c>
      <c r="F133" s="23" t="n">
        <v>8</v>
      </c>
      <c r="G133" s="23" t="n">
        <v>0.05</v>
      </c>
      <c r="H133" s="24" t="n">
        <v>45622</v>
      </c>
      <c r="I133" s="23" t="n">
        <v>437.11</v>
      </c>
      <c r="J133" s="25" t="n">
        <f aca="true">NOW()</f>
        <v>46304.4705747775</v>
      </c>
      <c r="K133" s="26" t="n">
        <f aca="false">DATE(YEAR(H133),MONTH(H133),1)</f>
        <v>45597</v>
      </c>
      <c r="L133" s="27" t="n">
        <f aca="false">E133/(1-G133)</f>
        <v>1210.82105263158</v>
      </c>
      <c r="M133" s="27" t="n">
        <f aca="false">E133-I133</f>
        <v>713.17</v>
      </c>
      <c r="N133" s="28" t="n">
        <f aca="false">I133/E133</f>
        <v>0.380003129672775</v>
      </c>
    </row>
    <row r="134" customFormat="false" ht="15" hidden="false" customHeight="false" outlineLevel="0" collapsed="false">
      <c r="A134" s="23" t="s">
        <v>108</v>
      </c>
      <c r="B134" s="23" t="s">
        <v>143</v>
      </c>
      <c r="C134" s="23" t="s">
        <v>91</v>
      </c>
      <c r="D134" s="23" t="s">
        <v>98</v>
      </c>
      <c r="E134" s="23" t="n">
        <v>853.86</v>
      </c>
      <c r="F134" s="23" t="n">
        <v>8</v>
      </c>
      <c r="G134" s="23" t="n">
        <v>0.1</v>
      </c>
      <c r="H134" s="24" t="n">
        <v>45622</v>
      </c>
      <c r="I134" s="23" t="n">
        <v>268.97</v>
      </c>
      <c r="J134" s="25" t="n">
        <f aca="true">NOW()</f>
        <v>46304.4705747775</v>
      </c>
      <c r="K134" s="26" t="n">
        <f aca="false">DATE(YEAR(H134),MONTH(H134),1)</f>
        <v>45597</v>
      </c>
      <c r="L134" s="27" t="n">
        <f aca="false">E134/(1-G134)</f>
        <v>948.733333333333</v>
      </c>
      <c r="M134" s="27" t="n">
        <f aca="false">E134-I134</f>
        <v>584.89</v>
      </c>
      <c r="N134" s="28" t="n">
        <f aca="false">I134/E134</f>
        <v>0.315004801723936</v>
      </c>
    </row>
    <row r="135" customFormat="false" ht="15" hidden="false" customHeight="false" outlineLevel="0" collapsed="false">
      <c r="A135" s="23" t="s">
        <v>147</v>
      </c>
      <c r="B135" s="23" t="s">
        <v>116</v>
      </c>
      <c r="C135" s="23" t="s">
        <v>91</v>
      </c>
      <c r="D135" s="23" t="s">
        <v>92</v>
      </c>
      <c r="E135" s="23" t="n">
        <v>1061.04</v>
      </c>
      <c r="F135" s="23" t="n">
        <v>1</v>
      </c>
      <c r="G135" s="23" t="n">
        <v>0</v>
      </c>
      <c r="H135" s="24" t="n">
        <v>45624</v>
      </c>
      <c r="I135" s="23" t="n">
        <v>265.26</v>
      </c>
      <c r="J135" s="25" t="n">
        <f aca="true">NOW()</f>
        <v>46304.4705747775</v>
      </c>
      <c r="K135" s="26" t="n">
        <f aca="false">DATE(YEAR(H135),MONTH(H135),1)</f>
        <v>45597</v>
      </c>
      <c r="L135" s="27" t="n">
        <f aca="false">E135/(1-G135)</f>
        <v>1061.04</v>
      </c>
      <c r="M135" s="27" t="n">
        <f aca="false">E135-I135</f>
        <v>795.78</v>
      </c>
      <c r="N135" s="28" t="n">
        <f aca="false">I135/E135</f>
        <v>0.25</v>
      </c>
    </row>
    <row r="136" customFormat="false" ht="15" hidden="false" customHeight="false" outlineLevel="0" collapsed="false">
      <c r="A136" s="23" t="s">
        <v>99</v>
      </c>
      <c r="B136" s="23" t="s">
        <v>114</v>
      </c>
      <c r="C136" s="23" t="s">
        <v>82</v>
      </c>
      <c r="D136" s="23" t="s">
        <v>92</v>
      </c>
      <c r="E136" s="23" t="n">
        <v>894.55</v>
      </c>
      <c r="F136" s="23" t="n">
        <v>19</v>
      </c>
      <c r="G136" s="23" t="n">
        <v>0.2</v>
      </c>
      <c r="H136" s="24" t="n">
        <v>45625</v>
      </c>
      <c r="I136" s="23" t="n">
        <v>178.91</v>
      </c>
      <c r="J136" s="25" t="n">
        <f aca="true">NOW()</f>
        <v>46304.4705747775</v>
      </c>
      <c r="K136" s="26" t="n">
        <f aca="false">DATE(YEAR(H136),MONTH(H136),1)</f>
        <v>45597</v>
      </c>
      <c r="L136" s="27" t="n">
        <f aca="false">E136/(1-G136)</f>
        <v>1118.1875</v>
      </c>
      <c r="M136" s="27" t="n">
        <f aca="false">E136-I136</f>
        <v>715.64</v>
      </c>
      <c r="N136" s="28" t="n">
        <f aca="false">I136/E136</f>
        <v>0.2</v>
      </c>
    </row>
    <row r="137" customFormat="false" ht="15" hidden="false" customHeight="false" outlineLevel="0" collapsed="false">
      <c r="A137" s="23" t="s">
        <v>96</v>
      </c>
      <c r="B137" s="23" t="s">
        <v>109</v>
      </c>
      <c r="C137" s="23" t="s">
        <v>95</v>
      </c>
      <c r="D137" s="23" t="s">
        <v>110</v>
      </c>
      <c r="E137" s="23" t="n">
        <v>833.91</v>
      </c>
      <c r="F137" s="23" t="n">
        <v>3</v>
      </c>
      <c r="G137" s="23" t="n">
        <v>0.05</v>
      </c>
      <c r="H137" s="24" t="n">
        <v>45626</v>
      </c>
      <c r="I137" s="23" t="n">
        <v>356.5</v>
      </c>
      <c r="J137" s="25" t="n">
        <f aca="true">NOW()</f>
        <v>46304.4705747775</v>
      </c>
      <c r="K137" s="26" t="n">
        <f aca="false">DATE(YEAR(H137),MONTH(H137),1)</f>
        <v>45597</v>
      </c>
      <c r="L137" s="27" t="n">
        <f aca="false">E137/(1-G137)</f>
        <v>877.8</v>
      </c>
      <c r="M137" s="27" t="n">
        <f aca="false">E137-I137</f>
        <v>477.41</v>
      </c>
      <c r="N137" s="28" t="n">
        <f aca="false">I137/E137</f>
        <v>0.427504167116355</v>
      </c>
    </row>
    <row r="138" customFormat="false" ht="15" hidden="false" customHeight="false" outlineLevel="0" collapsed="false">
      <c r="A138" s="23" t="s">
        <v>129</v>
      </c>
      <c r="B138" s="23" t="s">
        <v>143</v>
      </c>
      <c r="C138" s="23" t="s">
        <v>82</v>
      </c>
      <c r="D138" s="23" t="s">
        <v>98</v>
      </c>
      <c r="E138" s="23" t="n">
        <v>820.19</v>
      </c>
      <c r="F138" s="23" t="n">
        <v>4</v>
      </c>
      <c r="G138" s="23" t="n">
        <v>0.2</v>
      </c>
      <c r="H138" s="24" t="n">
        <v>45630</v>
      </c>
      <c r="I138" s="23" t="n">
        <v>229.65</v>
      </c>
      <c r="J138" s="25" t="n">
        <f aca="true">NOW()</f>
        <v>46304.4705747775</v>
      </c>
      <c r="K138" s="26" t="n">
        <f aca="false">DATE(YEAR(H138),MONTH(H138),1)</f>
        <v>45627</v>
      </c>
      <c r="L138" s="27" t="n">
        <f aca="false">E138/(1-G138)</f>
        <v>1025.2375</v>
      </c>
      <c r="M138" s="27" t="n">
        <f aca="false">E138-I138</f>
        <v>590.54</v>
      </c>
      <c r="N138" s="28" t="n">
        <f aca="false">I138/E138</f>
        <v>0.27999609846499</v>
      </c>
    </row>
    <row r="139" customFormat="false" ht="15" hidden="false" customHeight="false" outlineLevel="0" collapsed="false">
      <c r="A139" s="23" t="s">
        <v>129</v>
      </c>
      <c r="B139" s="23" t="s">
        <v>109</v>
      </c>
      <c r="C139" s="23" t="s">
        <v>105</v>
      </c>
      <c r="D139" s="23" t="s">
        <v>92</v>
      </c>
      <c r="E139" s="23" t="n">
        <v>511.74</v>
      </c>
      <c r="F139" s="23" t="n">
        <v>8</v>
      </c>
      <c r="G139" s="23" t="n">
        <v>0.05</v>
      </c>
      <c r="H139" s="24" t="n">
        <v>45631</v>
      </c>
      <c r="I139" s="23" t="n">
        <v>121.54</v>
      </c>
      <c r="J139" s="25" t="n">
        <f aca="true">NOW()</f>
        <v>46304.4705747775</v>
      </c>
      <c r="K139" s="26" t="n">
        <f aca="false">DATE(YEAR(H139),MONTH(H139),1)</f>
        <v>45627</v>
      </c>
      <c r="L139" s="27" t="n">
        <f aca="false">E139/(1-G139)</f>
        <v>538.673684210526</v>
      </c>
      <c r="M139" s="27" t="n">
        <f aca="false">E139-I139</f>
        <v>390.2</v>
      </c>
      <c r="N139" s="28" t="n">
        <f aca="false">I139/E139</f>
        <v>0.237503419705319</v>
      </c>
    </row>
    <row r="140" customFormat="false" ht="15" hidden="false" customHeight="false" outlineLevel="0" collapsed="false">
      <c r="A140" s="23" t="s">
        <v>137</v>
      </c>
      <c r="B140" s="23" t="s">
        <v>133</v>
      </c>
      <c r="C140" s="23" t="s">
        <v>91</v>
      </c>
      <c r="D140" s="23" t="s">
        <v>98</v>
      </c>
      <c r="E140" s="23" t="n">
        <v>806.03</v>
      </c>
      <c r="F140" s="23" t="n">
        <v>19</v>
      </c>
      <c r="G140" s="23" t="n">
        <v>0.05</v>
      </c>
      <c r="H140" s="24" t="n">
        <v>45638</v>
      </c>
      <c r="I140" s="23" t="n">
        <v>268</v>
      </c>
      <c r="J140" s="25" t="n">
        <f aca="true">NOW()</f>
        <v>46304.4705747775</v>
      </c>
      <c r="K140" s="26" t="n">
        <f aca="false">DATE(YEAR(H140),MONTH(H140),1)</f>
        <v>45627</v>
      </c>
      <c r="L140" s="27" t="n">
        <f aca="false">E140/(1-G140)</f>
        <v>848.452631578947</v>
      </c>
      <c r="M140" s="27" t="n">
        <f aca="false">E140-I140</f>
        <v>538.03</v>
      </c>
      <c r="N140" s="28" t="n">
        <f aca="false">I140/E140</f>
        <v>0.33249382777316</v>
      </c>
    </row>
    <row r="141" customFormat="false" ht="15" hidden="false" customHeight="false" outlineLevel="0" collapsed="false">
      <c r="A141" s="23" t="s">
        <v>99</v>
      </c>
      <c r="B141" s="23" t="s">
        <v>97</v>
      </c>
      <c r="C141" s="23" t="s">
        <v>105</v>
      </c>
      <c r="D141" s="23" t="s">
        <v>98</v>
      </c>
      <c r="E141" s="23" t="n">
        <v>1432.47</v>
      </c>
      <c r="F141" s="23" t="n">
        <v>16</v>
      </c>
      <c r="G141" s="23" t="n">
        <v>0.15</v>
      </c>
      <c r="H141" s="24" t="n">
        <v>45640</v>
      </c>
      <c r="I141" s="23" t="n">
        <v>426.16</v>
      </c>
      <c r="J141" s="25" t="n">
        <f aca="true">NOW()</f>
        <v>46304.4705747775</v>
      </c>
      <c r="K141" s="26" t="n">
        <f aca="false">DATE(YEAR(H141),MONTH(H141),1)</f>
        <v>45627</v>
      </c>
      <c r="L141" s="27" t="n">
        <f aca="false">E141/(1-G141)</f>
        <v>1685.25882352941</v>
      </c>
      <c r="M141" s="27" t="n">
        <f aca="false">E141-I141</f>
        <v>1006.31</v>
      </c>
      <c r="N141" s="28" t="n">
        <f aca="false">I141/E141</f>
        <v>0.297500122166607</v>
      </c>
    </row>
    <row r="142" customFormat="false" ht="15" hidden="false" customHeight="false" outlineLevel="0" collapsed="false">
      <c r="A142" s="23" t="s">
        <v>146</v>
      </c>
      <c r="B142" s="23" t="s">
        <v>100</v>
      </c>
      <c r="C142" s="23" t="s">
        <v>105</v>
      </c>
      <c r="D142" s="23" t="s">
        <v>92</v>
      </c>
      <c r="E142" s="23" t="n">
        <v>1488.58</v>
      </c>
      <c r="F142" s="23" t="n">
        <v>10</v>
      </c>
      <c r="G142" s="23" t="n">
        <v>0.15</v>
      </c>
      <c r="H142" s="24" t="n">
        <v>45640</v>
      </c>
      <c r="I142" s="23" t="n">
        <v>316.32</v>
      </c>
      <c r="J142" s="25" t="n">
        <f aca="true">NOW()</f>
        <v>46304.4705747775</v>
      </c>
      <c r="K142" s="26" t="n">
        <f aca="false">DATE(YEAR(H142),MONTH(H142),1)</f>
        <v>45627</v>
      </c>
      <c r="L142" s="27" t="n">
        <f aca="false">E142/(1-G142)</f>
        <v>1751.27058823529</v>
      </c>
      <c r="M142" s="27" t="n">
        <f aca="false">E142-I142</f>
        <v>1172.26</v>
      </c>
      <c r="N142" s="28" t="n">
        <f aca="false">I142/E142</f>
        <v>0.212497816711228</v>
      </c>
    </row>
    <row r="143" customFormat="false" ht="15" hidden="false" customHeight="false" outlineLevel="0" collapsed="false">
      <c r="A143" s="23" t="s">
        <v>101</v>
      </c>
      <c r="B143" s="23" t="s">
        <v>138</v>
      </c>
      <c r="C143" s="23" t="s">
        <v>89</v>
      </c>
      <c r="D143" s="23" t="s">
        <v>83</v>
      </c>
      <c r="E143" s="23" t="n">
        <v>1231.26</v>
      </c>
      <c r="F143" s="23" t="n">
        <v>9</v>
      </c>
      <c r="G143" s="23" t="n">
        <v>0</v>
      </c>
      <c r="H143" s="24" t="n">
        <v>45646</v>
      </c>
      <c r="I143" s="23" t="n">
        <v>492.5</v>
      </c>
      <c r="J143" s="25" t="n">
        <f aca="true">NOW()</f>
        <v>46304.4705747775</v>
      </c>
      <c r="K143" s="26" t="n">
        <f aca="false">DATE(YEAR(H143),MONTH(H143),1)</f>
        <v>45627</v>
      </c>
      <c r="L143" s="27" t="n">
        <f aca="false">E143/(1-G143)</f>
        <v>1231.26</v>
      </c>
      <c r="M143" s="27" t="n">
        <f aca="false">E143-I143</f>
        <v>738.76</v>
      </c>
      <c r="N143" s="28" t="n">
        <f aca="false">I143/E143</f>
        <v>0.399996751295421</v>
      </c>
    </row>
    <row r="144" customFormat="false" ht="15" hidden="false" customHeight="false" outlineLevel="0" collapsed="false">
      <c r="A144" s="23" t="s">
        <v>101</v>
      </c>
      <c r="B144" s="23" t="s">
        <v>114</v>
      </c>
      <c r="C144" s="23" t="s">
        <v>82</v>
      </c>
      <c r="D144" s="23" t="s">
        <v>92</v>
      </c>
      <c r="E144" s="23" t="n">
        <v>1161.67</v>
      </c>
      <c r="F144" s="23" t="n">
        <v>19</v>
      </c>
      <c r="G144" s="23" t="n">
        <v>0.2</v>
      </c>
      <c r="H144" s="24" t="n">
        <v>45647</v>
      </c>
      <c r="I144" s="23" t="n">
        <v>232.33</v>
      </c>
      <c r="J144" s="25" t="n">
        <f aca="true">NOW()</f>
        <v>46304.4705747775</v>
      </c>
      <c r="K144" s="26" t="n">
        <f aca="false">DATE(YEAR(H144),MONTH(H144),1)</f>
        <v>45627</v>
      </c>
      <c r="L144" s="27" t="n">
        <f aca="false">E144/(1-G144)</f>
        <v>1452.0875</v>
      </c>
      <c r="M144" s="27" t="n">
        <f aca="false">E144-I144</f>
        <v>929.34</v>
      </c>
      <c r="N144" s="28" t="n">
        <f aca="false">I144/E144</f>
        <v>0.199996556681329</v>
      </c>
    </row>
    <row r="145" customFormat="false" ht="15" hidden="false" customHeight="false" outlineLevel="0" collapsed="false">
      <c r="A145" s="23" t="s">
        <v>120</v>
      </c>
      <c r="B145" s="23" t="s">
        <v>116</v>
      </c>
      <c r="C145" s="23" t="s">
        <v>105</v>
      </c>
      <c r="D145" s="23" t="s">
        <v>110</v>
      </c>
      <c r="E145" s="23" t="n">
        <v>388.23</v>
      </c>
      <c r="F145" s="23" t="n">
        <v>16</v>
      </c>
      <c r="G145" s="23" t="n">
        <v>0.05</v>
      </c>
      <c r="H145" s="24" t="n">
        <v>45650</v>
      </c>
      <c r="I145" s="23" t="n">
        <v>165.97</v>
      </c>
      <c r="J145" s="25" t="n">
        <f aca="true">NOW()</f>
        <v>46304.4705747775</v>
      </c>
      <c r="K145" s="26" t="n">
        <f aca="false">DATE(YEAR(H145),MONTH(H145),1)</f>
        <v>45627</v>
      </c>
      <c r="L145" s="27" t="n">
        <f aca="false">E145/(1-G145)</f>
        <v>408.663157894737</v>
      </c>
      <c r="M145" s="27" t="n">
        <f aca="false">E145-I145</f>
        <v>222.26</v>
      </c>
      <c r="N145" s="28" t="n">
        <f aca="false">I145/E145</f>
        <v>0.427504314452773</v>
      </c>
    </row>
    <row r="146" customFormat="false" ht="15" hidden="false" customHeight="false" outlineLevel="0" collapsed="false">
      <c r="A146" s="23" t="s">
        <v>144</v>
      </c>
      <c r="B146" s="23" t="s">
        <v>102</v>
      </c>
      <c r="C146" s="23" t="s">
        <v>95</v>
      </c>
      <c r="D146" s="23" t="s">
        <v>86</v>
      </c>
      <c r="E146" s="23" t="n">
        <v>1589.42</v>
      </c>
      <c r="F146" s="23" t="n">
        <v>6</v>
      </c>
      <c r="G146" s="23" t="n">
        <v>0.15</v>
      </c>
      <c r="H146" s="24" t="n">
        <v>45651</v>
      </c>
      <c r="I146" s="23" t="n">
        <v>675.5</v>
      </c>
      <c r="J146" s="25" t="n">
        <f aca="true">NOW()</f>
        <v>46304.4705747775</v>
      </c>
      <c r="K146" s="26" t="n">
        <f aca="false">DATE(YEAR(H146),MONTH(H146),1)</f>
        <v>45627</v>
      </c>
      <c r="L146" s="27" t="n">
        <f aca="false">E146/(1-G146)</f>
        <v>1869.90588235294</v>
      </c>
      <c r="M146" s="27" t="n">
        <f aca="false">E146-I146</f>
        <v>913.92</v>
      </c>
      <c r="N146" s="28" t="n">
        <f aca="false">I146/E146</f>
        <v>0.424997797938871</v>
      </c>
    </row>
    <row r="147" customFormat="false" ht="15" hidden="false" customHeight="false" outlineLevel="0" collapsed="false">
      <c r="A147" s="23" t="s">
        <v>99</v>
      </c>
      <c r="B147" s="23" t="s">
        <v>143</v>
      </c>
      <c r="C147" s="23" t="s">
        <v>95</v>
      </c>
      <c r="D147" s="23" t="s">
        <v>86</v>
      </c>
      <c r="E147" s="23" t="n">
        <v>336.66</v>
      </c>
      <c r="F147" s="23" t="n">
        <v>13</v>
      </c>
      <c r="G147" s="23" t="n">
        <v>0.2</v>
      </c>
      <c r="H147" s="24" t="n">
        <v>45651</v>
      </c>
      <c r="I147" s="23" t="n">
        <v>134.66</v>
      </c>
      <c r="J147" s="25" t="n">
        <f aca="true">NOW()</f>
        <v>46304.4705747775</v>
      </c>
      <c r="K147" s="26" t="n">
        <f aca="false">DATE(YEAR(H147),MONTH(H147),1)</f>
        <v>45627</v>
      </c>
      <c r="L147" s="27" t="n">
        <f aca="false">E147/(1-G147)</f>
        <v>420.825</v>
      </c>
      <c r="M147" s="27" t="n">
        <f aca="false">E147-I147</f>
        <v>202</v>
      </c>
      <c r="N147" s="28" t="n">
        <f aca="false">I147/E147</f>
        <v>0.399988118576605</v>
      </c>
    </row>
    <row r="148" customFormat="false" ht="15" hidden="false" customHeight="false" outlineLevel="0" collapsed="false">
      <c r="A148" s="23" t="s">
        <v>120</v>
      </c>
      <c r="B148" s="23" t="s">
        <v>94</v>
      </c>
      <c r="C148" s="23" t="s">
        <v>82</v>
      </c>
      <c r="D148" s="23" t="s">
        <v>83</v>
      </c>
      <c r="E148" s="23" t="n">
        <v>1353.79</v>
      </c>
      <c r="F148" s="23" t="n">
        <v>14</v>
      </c>
      <c r="G148" s="23" t="n">
        <v>0.1</v>
      </c>
      <c r="H148" s="24" t="n">
        <v>45656</v>
      </c>
      <c r="I148" s="23" t="n">
        <v>487.36</v>
      </c>
      <c r="J148" s="25" t="n">
        <f aca="true">NOW()</f>
        <v>46304.4705747775</v>
      </c>
      <c r="K148" s="26" t="n">
        <f aca="false">DATE(YEAR(H148),MONTH(H148),1)</f>
        <v>45627</v>
      </c>
      <c r="L148" s="27" t="n">
        <f aca="false">E148/(1-G148)</f>
        <v>1504.21111111111</v>
      </c>
      <c r="M148" s="27" t="n">
        <f aca="false">E148-I148</f>
        <v>866.43</v>
      </c>
      <c r="N148" s="28" t="n">
        <f aca="false">I148/E148</f>
        <v>0.359996749865193</v>
      </c>
    </row>
    <row r="149" customFormat="false" ht="15" hidden="false" customHeight="false" outlineLevel="0" collapsed="false">
      <c r="A149" s="23" t="s">
        <v>135</v>
      </c>
      <c r="B149" s="23" t="s">
        <v>141</v>
      </c>
      <c r="C149" s="23" t="s">
        <v>105</v>
      </c>
      <c r="D149" s="23" t="s">
        <v>86</v>
      </c>
      <c r="E149" s="23" t="n">
        <v>662.61</v>
      </c>
      <c r="F149" s="23" t="n">
        <v>11</v>
      </c>
      <c r="G149" s="23" t="n">
        <v>0.05</v>
      </c>
      <c r="H149" s="24" t="n">
        <v>45658</v>
      </c>
      <c r="I149" s="23" t="n">
        <v>314.74</v>
      </c>
      <c r="J149" s="25" t="n">
        <f aca="true">NOW()</f>
        <v>46304.4705747776</v>
      </c>
      <c r="K149" s="26" t="n">
        <f aca="false">DATE(YEAR(H149),MONTH(H149),1)</f>
        <v>45658</v>
      </c>
      <c r="L149" s="27" t="n">
        <f aca="false">E149/(1-G149)</f>
        <v>697.484210526316</v>
      </c>
      <c r="M149" s="27" t="n">
        <f aca="false">E149-I149</f>
        <v>347.87</v>
      </c>
      <c r="N149" s="28" t="n">
        <f aca="false">I149/E149</f>
        <v>0.475000377295845</v>
      </c>
    </row>
    <row r="150" customFormat="false" ht="15" hidden="false" customHeight="false" outlineLevel="0" collapsed="false">
      <c r="A150" s="23" t="s">
        <v>123</v>
      </c>
      <c r="B150" s="23" t="s">
        <v>130</v>
      </c>
      <c r="C150" s="23" t="s">
        <v>95</v>
      </c>
      <c r="D150" s="23" t="s">
        <v>110</v>
      </c>
      <c r="E150" s="23" t="n">
        <v>309.42</v>
      </c>
      <c r="F150" s="23" t="n">
        <v>1</v>
      </c>
      <c r="G150" s="23" t="n">
        <v>0.2</v>
      </c>
      <c r="H150" s="24" t="n">
        <v>45658</v>
      </c>
      <c r="I150" s="23" t="n">
        <v>111.39</v>
      </c>
      <c r="J150" s="25" t="n">
        <f aca="true">NOW()</f>
        <v>46304.4705747776</v>
      </c>
      <c r="K150" s="26" t="n">
        <f aca="false">DATE(YEAR(H150),MONTH(H150),1)</f>
        <v>45658</v>
      </c>
      <c r="L150" s="27" t="n">
        <f aca="false">E150/(1-G150)</f>
        <v>386.775</v>
      </c>
      <c r="M150" s="27" t="n">
        <f aca="false">E150-I150</f>
        <v>198.03</v>
      </c>
      <c r="N150" s="28" t="n">
        <f aca="false">I150/E150</f>
        <v>0.359996121776227</v>
      </c>
    </row>
    <row r="151" customFormat="false" ht="15" hidden="false" customHeight="false" outlineLevel="0" collapsed="false">
      <c r="A151" s="23" t="s">
        <v>135</v>
      </c>
      <c r="B151" s="23" t="s">
        <v>100</v>
      </c>
      <c r="C151" s="23" t="s">
        <v>95</v>
      </c>
      <c r="D151" s="23" t="s">
        <v>83</v>
      </c>
      <c r="E151" s="23" t="n">
        <v>884.63</v>
      </c>
      <c r="F151" s="23" t="n">
        <v>18</v>
      </c>
      <c r="G151" s="23" t="n">
        <v>0.1</v>
      </c>
      <c r="H151" s="24" t="n">
        <v>45659</v>
      </c>
      <c r="I151" s="23" t="n">
        <v>318.47</v>
      </c>
      <c r="J151" s="25" t="n">
        <f aca="true">NOW()</f>
        <v>46304.4705747776</v>
      </c>
      <c r="K151" s="26" t="n">
        <f aca="false">DATE(YEAR(H151),MONTH(H151),1)</f>
        <v>45658</v>
      </c>
      <c r="L151" s="27" t="n">
        <f aca="false">E151/(1-G151)</f>
        <v>982.922222222222</v>
      </c>
      <c r="M151" s="27" t="n">
        <f aca="false">E151-I151</f>
        <v>566.16</v>
      </c>
      <c r="N151" s="28" t="n">
        <f aca="false">I151/E151</f>
        <v>0.36000361733154</v>
      </c>
    </row>
    <row r="152" customFormat="false" ht="15" hidden="false" customHeight="false" outlineLevel="0" collapsed="false">
      <c r="A152" s="23" t="s">
        <v>123</v>
      </c>
      <c r="B152" s="23" t="s">
        <v>94</v>
      </c>
      <c r="C152" s="23" t="s">
        <v>105</v>
      </c>
      <c r="D152" s="23" t="s">
        <v>110</v>
      </c>
      <c r="E152" s="23" t="n">
        <v>745.05</v>
      </c>
      <c r="F152" s="23" t="n">
        <v>10</v>
      </c>
      <c r="G152" s="23" t="n">
        <v>0.1</v>
      </c>
      <c r="H152" s="24" t="n">
        <v>45660</v>
      </c>
      <c r="I152" s="23" t="n">
        <v>301.75</v>
      </c>
      <c r="J152" s="25" t="n">
        <f aca="true">NOW()</f>
        <v>46304.4705747776</v>
      </c>
      <c r="K152" s="26" t="n">
        <f aca="false">DATE(YEAR(H152),MONTH(H152),1)</f>
        <v>45658</v>
      </c>
      <c r="L152" s="27" t="n">
        <f aca="false">E152/(1-G152)</f>
        <v>827.833333333333</v>
      </c>
      <c r="M152" s="27" t="n">
        <f aca="false">E152-I152</f>
        <v>443.3</v>
      </c>
      <c r="N152" s="28" t="n">
        <f aca="false">I152/E152</f>
        <v>0.405006375411046</v>
      </c>
    </row>
    <row r="153" customFormat="false" ht="15" hidden="false" customHeight="false" outlineLevel="0" collapsed="false">
      <c r="A153" s="23" t="s">
        <v>132</v>
      </c>
      <c r="B153" s="23" t="s">
        <v>88</v>
      </c>
      <c r="C153" s="23" t="s">
        <v>91</v>
      </c>
      <c r="D153" s="23" t="s">
        <v>86</v>
      </c>
      <c r="E153" s="23" t="n">
        <v>870.23</v>
      </c>
      <c r="F153" s="23" t="n">
        <v>5</v>
      </c>
      <c r="G153" s="23" t="n">
        <v>0.05</v>
      </c>
      <c r="H153" s="24" t="n">
        <v>45660</v>
      </c>
      <c r="I153" s="23" t="n">
        <v>413.36</v>
      </c>
      <c r="J153" s="25" t="n">
        <f aca="true">NOW()</f>
        <v>46304.4705747776</v>
      </c>
      <c r="K153" s="26" t="n">
        <f aca="false">DATE(YEAR(H153),MONTH(H153),1)</f>
        <v>45658</v>
      </c>
      <c r="L153" s="27" t="n">
        <f aca="false">E153/(1-G153)</f>
        <v>916.031578947369</v>
      </c>
      <c r="M153" s="27" t="n">
        <f aca="false">E153-I153</f>
        <v>456.87</v>
      </c>
      <c r="N153" s="28" t="n">
        <f aca="false">I153/E153</f>
        <v>0.475000861841122</v>
      </c>
    </row>
    <row r="154" customFormat="false" ht="15" hidden="false" customHeight="false" outlineLevel="0" collapsed="false">
      <c r="A154" s="23" t="s">
        <v>106</v>
      </c>
      <c r="B154" s="23" t="s">
        <v>100</v>
      </c>
      <c r="C154" s="23" t="s">
        <v>82</v>
      </c>
      <c r="D154" s="23" t="s">
        <v>98</v>
      </c>
      <c r="E154" s="23" t="n">
        <v>862.19</v>
      </c>
      <c r="F154" s="23" t="n">
        <v>18</v>
      </c>
      <c r="G154" s="23" t="n">
        <v>0.05</v>
      </c>
      <c r="H154" s="24" t="n">
        <v>45663</v>
      </c>
      <c r="I154" s="23" t="n">
        <v>286.68</v>
      </c>
      <c r="J154" s="25" t="n">
        <f aca="true">NOW()</f>
        <v>46304.4705747776</v>
      </c>
      <c r="K154" s="26" t="n">
        <f aca="false">DATE(YEAR(H154),MONTH(H154),1)</f>
        <v>45658</v>
      </c>
      <c r="L154" s="27" t="n">
        <f aca="false">E154/(1-G154)</f>
        <v>907.568421052632</v>
      </c>
      <c r="M154" s="27" t="n">
        <f aca="false">E154-I154</f>
        <v>575.51</v>
      </c>
      <c r="N154" s="28" t="n">
        <f aca="false">I154/E154</f>
        <v>0.332502116702815</v>
      </c>
    </row>
    <row r="155" customFormat="false" ht="15" hidden="false" customHeight="false" outlineLevel="0" collapsed="false">
      <c r="A155" s="23" t="s">
        <v>145</v>
      </c>
      <c r="B155" s="23" t="s">
        <v>131</v>
      </c>
      <c r="C155" s="23" t="s">
        <v>95</v>
      </c>
      <c r="D155" s="23" t="s">
        <v>86</v>
      </c>
      <c r="E155" s="23" t="n">
        <v>1171.18</v>
      </c>
      <c r="F155" s="23" t="n">
        <v>19</v>
      </c>
      <c r="G155" s="23" t="n">
        <v>0.05</v>
      </c>
      <c r="H155" s="24" t="n">
        <v>45667</v>
      </c>
      <c r="I155" s="23" t="n">
        <v>556.31</v>
      </c>
      <c r="J155" s="25" t="n">
        <f aca="true">NOW()</f>
        <v>46304.4705747776</v>
      </c>
      <c r="K155" s="26" t="n">
        <f aca="false">DATE(YEAR(H155),MONTH(H155),1)</f>
        <v>45658</v>
      </c>
      <c r="L155" s="27" t="n">
        <f aca="false">E155/(1-G155)</f>
        <v>1232.82105263158</v>
      </c>
      <c r="M155" s="27" t="n">
        <f aca="false">E155-I155</f>
        <v>614.87</v>
      </c>
      <c r="N155" s="28" t="n">
        <f aca="false">I155/E155</f>
        <v>0.474999573080141</v>
      </c>
    </row>
    <row r="156" customFormat="false" ht="15" hidden="false" customHeight="false" outlineLevel="0" collapsed="false">
      <c r="A156" s="23" t="s">
        <v>129</v>
      </c>
      <c r="B156" s="23" t="s">
        <v>85</v>
      </c>
      <c r="C156" s="23" t="s">
        <v>91</v>
      </c>
      <c r="D156" s="23" t="s">
        <v>98</v>
      </c>
      <c r="E156" s="23" t="n">
        <v>1054.56</v>
      </c>
      <c r="F156" s="23" t="n">
        <v>11</v>
      </c>
      <c r="G156" s="23" t="n">
        <v>0.1</v>
      </c>
      <c r="H156" s="24" t="n">
        <v>45669</v>
      </c>
      <c r="I156" s="23" t="n">
        <v>332.19</v>
      </c>
      <c r="J156" s="25" t="n">
        <f aca="true">NOW()</f>
        <v>46304.4705747776</v>
      </c>
      <c r="K156" s="26" t="n">
        <f aca="false">DATE(YEAR(H156),MONTH(H156),1)</f>
        <v>45658</v>
      </c>
      <c r="L156" s="27" t="n">
        <f aca="false">E156/(1-G156)</f>
        <v>1171.73333333333</v>
      </c>
      <c r="M156" s="27" t="n">
        <f aca="false">E156-I156</f>
        <v>722.37</v>
      </c>
      <c r="N156" s="28" t="n">
        <f aca="false">I156/E156</f>
        <v>0.315003413746017</v>
      </c>
    </row>
    <row r="157" customFormat="false" ht="15" hidden="false" customHeight="false" outlineLevel="0" collapsed="false">
      <c r="A157" s="23" t="s">
        <v>129</v>
      </c>
      <c r="B157" s="23" t="s">
        <v>94</v>
      </c>
      <c r="C157" s="23" t="s">
        <v>95</v>
      </c>
      <c r="D157" s="23" t="s">
        <v>92</v>
      </c>
      <c r="E157" s="23" t="n">
        <v>1681.21</v>
      </c>
      <c r="F157" s="23" t="n">
        <v>5</v>
      </c>
      <c r="G157" s="23" t="n">
        <v>0.2</v>
      </c>
      <c r="H157" s="24" t="n">
        <v>45670</v>
      </c>
      <c r="I157" s="23" t="n">
        <v>336.24</v>
      </c>
      <c r="J157" s="25" t="n">
        <f aca="true">NOW()</f>
        <v>46304.4705747776</v>
      </c>
      <c r="K157" s="26" t="n">
        <f aca="false">DATE(YEAR(H157),MONTH(H157),1)</f>
        <v>45658</v>
      </c>
      <c r="L157" s="27" t="n">
        <f aca="false">E157/(1-G157)</f>
        <v>2101.5125</v>
      </c>
      <c r="M157" s="27" t="n">
        <f aca="false">E157-I157</f>
        <v>1344.97</v>
      </c>
      <c r="N157" s="28" t="n">
        <f aca="false">I157/E157</f>
        <v>0.199998810380619</v>
      </c>
    </row>
    <row r="158" customFormat="false" ht="15" hidden="false" customHeight="false" outlineLevel="0" collapsed="false">
      <c r="A158" s="23" t="s">
        <v>129</v>
      </c>
      <c r="B158" s="23" t="s">
        <v>107</v>
      </c>
      <c r="C158" s="23" t="s">
        <v>82</v>
      </c>
      <c r="D158" s="23" t="s">
        <v>86</v>
      </c>
      <c r="E158" s="23" t="n">
        <v>379.77</v>
      </c>
      <c r="F158" s="23" t="n">
        <v>9</v>
      </c>
      <c r="G158" s="23" t="n">
        <v>0.05</v>
      </c>
      <c r="H158" s="24" t="n">
        <v>45673</v>
      </c>
      <c r="I158" s="23" t="n">
        <v>180.39</v>
      </c>
      <c r="J158" s="25" t="n">
        <f aca="true">NOW()</f>
        <v>46304.4705747776</v>
      </c>
      <c r="K158" s="26" t="n">
        <f aca="false">DATE(YEAR(H158),MONTH(H158),1)</f>
        <v>45658</v>
      </c>
      <c r="L158" s="27" t="n">
        <f aca="false">E158/(1-G158)</f>
        <v>399.757894736842</v>
      </c>
      <c r="M158" s="27" t="n">
        <f aca="false">E158-I158</f>
        <v>199.38</v>
      </c>
      <c r="N158" s="28" t="n">
        <f aca="false">I158/E158</f>
        <v>0.474998025120468</v>
      </c>
    </row>
    <row r="159" customFormat="false" ht="15" hidden="false" customHeight="false" outlineLevel="0" collapsed="false">
      <c r="A159" s="23" t="s">
        <v>115</v>
      </c>
      <c r="B159" s="23" t="s">
        <v>116</v>
      </c>
      <c r="C159" s="23" t="s">
        <v>105</v>
      </c>
      <c r="D159" s="23" t="s">
        <v>86</v>
      </c>
      <c r="E159" s="23" t="n">
        <v>1076.33</v>
      </c>
      <c r="F159" s="23" t="n">
        <v>2</v>
      </c>
      <c r="G159" s="23" t="n">
        <v>0.1</v>
      </c>
      <c r="H159" s="24" t="n">
        <v>45674</v>
      </c>
      <c r="I159" s="23" t="n">
        <v>484.35</v>
      </c>
      <c r="J159" s="25" t="n">
        <f aca="true">NOW()</f>
        <v>46304.4705747776</v>
      </c>
      <c r="K159" s="26" t="n">
        <f aca="false">DATE(YEAR(H159),MONTH(H159),1)</f>
        <v>45658</v>
      </c>
      <c r="L159" s="27" t="n">
        <f aca="false">E159/(1-G159)</f>
        <v>1195.92222222222</v>
      </c>
      <c r="M159" s="27" t="n">
        <f aca="false">E159-I159</f>
        <v>591.98</v>
      </c>
      <c r="N159" s="28" t="n">
        <f aca="false">I159/E159</f>
        <v>0.450001393624632</v>
      </c>
    </row>
    <row r="160" customFormat="false" ht="15" hidden="false" customHeight="false" outlineLevel="0" collapsed="false">
      <c r="A160" s="23" t="s">
        <v>115</v>
      </c>
      <c r="B160" s="23" t="s">
        <v>102</v>
      </c>
      <c r="C160" s="23" t="s">
        <v>105</v>
      </c>
      <c r="D160" s="23" t="s">
        <v>110</v>
      </c>
      <c r="E160" s="23" t="n">
        <v>1250.71</v>
      </c>
      <c r="F160" s="23" t="n">
        <v>7</v>
      </c>
      <c r="G160" s="23" t="n">
        <v>0</v>
      </c>
      <c r="H160" s="24" t="n">
        <v>45674</v>
      </c>
      <c r="I160" s="23" t="n">
        <v>562.82</v>
      </c>
      <c r="J160" s="25" t="n">
        <f aca="true">NOW()</f>
        <v>46304.4705747776</v>
      </c>
      <c r="K160" s="26" t="n">
        <f aca="false">DATE(YEAR(H160),MONTH(H160),1)</f>
        <v>45658</v>
      </c>
      <c r="L160" s="27" t="n">
        <f aca="false">E160/(1-G160)</f>
        <v>1250.71</v>
      </c>
      <c r="M160" s="27" t="n">
        <f aca="false">E160-I160</f>
        <v>687.89</v>
      </c>
      <c r="N160" s="28" t="n">
        <f aca="false">I160/E160</f>
        <v>0.450000399772929</v>
      </c>
    </row>
    <row r="161" customFormat="false" ht="15" hidden="false" customHeight="false" outlineLevel="0" collapsed="false">
      <c r="A161" s="23" t="s">
        <v>111</v>
      </c>
      <c r="B161" s="23" t="s">
        <v>88</v>
      </c>
      <c r="C161" s="23" t="s">
        <v>91</v>
      </c>
      <c r="D161" s="23" t="s">
        <v>86</v>
      </c>
      <c r="E161" s="23" t="n">
        <v>1118.34</v>
      </c>
      <c r="F161" s="23" t="n">
        <v>6</v>
      </c>
      <c r="G161" s="23" t="n">
        <v>0.2</v>
      </c>
      <c r="H161" s="24" t="n">
        <v>45674</v>
      </c>
      <c r="I161" s="23" t="n">
        <v>447.34</v>
      </c>
      <c r="J161" s="25" t="n">
        <f aca="true">NOW()</f>
        <v>46304.4705747776</v>
      </c>
      <c r="K161" s="26" t="n">
        <f aca="false">DATE(YEAR(H161),MONTH(H161),1)</f>
        <v>45658</v>
      </c>
      <c r="L161" s="27" t="n">
        <f aca="false">E161/(1-G161)</f>
        <v>1397.925</v>
      </c>
      <c r="M161" s="27" t="n">
        <f aca="false">E161-I161</f>
        <v>671</v>
      </c>
      <c r="N161" s="28" t="n">
        <f aca="false">I161/E161</f>
        <v>0.400003576729796</v>
      </c>
    </row>
    <row r="162" customFormat="false" ht="15" hidden="false" customHeight="false" outlineLevel="0" collapsed="false">
      <c r="A162" s="23" t="s">
        <v>142</v>
      </c>
      <c r="B162" s="23" t="s">
        <v>124</v>
      </c>
      <c r="C162" s="23" t="s">
        <v>95</v>
      </c>
      <c r="D162" s="23" t="s">
        <v>86</v>
      </c>
      <c r="E162" s="23" t="n">
        <v>1622.62</v>
      </c>
      <c r="F162" s="23" t="n">
        <v>12</v>
      </c>
      <c r="G162" s="23" t="n">
        <v>0.2</v>
      </c>
      <c r="H162" s="24" t="n">
        <v>45677</v>
      </c>
      <c r="I162" s="23" t="n">
        <v>649.05</v>
      </c>
      <c r="J162" s="25" t="n">
        <f aca="true">NOW()</f>
        <v>46304.4705747776</v>
      </c>
      <c r="K162" s="26" t="n">
        <f aca="false">DATE(YEAR(H162),MONTH(H162),1)</f>
        <v>45658</v>
      </c>
      <c r="L162" s="27" t="n">
        <f aca="false">E162/(1-G162)</f>
        <v>2028.275</v>
      </c>
      <c r="M162" s="27" t="n">
        <f aca="false">E162-I162</f>
        <v>973.57</v>
      </c>
      <c r="N162" s="28" t="n">
        <f aca="false">I162/E162</f>
        <v>0.400001232574478</v>
      </c>
    </row>
    <row r="163" customFormat="false" ht="15" hidden="false" customHeight="false" outlineLevel="0" collapsed="false">
      <c r="A163" s="23" t="s">
        <v>147</v>
      </c>
      <c r="B163" s="23" t="s">
        <v>130</v>
      </c>
      <c r="C163" s="23" t="s">
        <v>95</v>
      </c>
      <c r="D163" s="23" t="s">
        <v>83</v>
      </c>
      <c r="E163" s="23" t="n">
        <v>640.64</v>
      </c>
      <c r="F163" s="23" t="n">
        <v>11</v>
      </c>
      <c r="G163" s="23" t="n">
        <v>0.2</v>
      </c>
      <c r="H163" s="24" t="n">
        <v>45678</v>
      </c>
      <c r="I163" s="23" t="n">
        <v>205</v>
      </c>
      <c r="J163" s="25" t="n">
        <f aca="true">NOW()</f>
        <v>46304.4705747776</v>
      </c>
      <c r="K163" s="26" t="n">
        <f aca="false">DATE(YEAR(H163),MONTH(H163),1)</f>
        <v>45658</v>
      </c>
      <c r="L163" s="27" t="n">
        <f aca="false">E163/(1-G163)</f>
        <v>800.8</v>
      </c>
      <c r="M163" s="27" t="n">
        <f aca="false">E163-I163</f>
        <v>435.64</v>
      </c>
      <c r="N163" s="28" t="n">
        <f aca="false">I163/E163</f>
        <v>0.319992507492508</v>
      </c>
    </row>
    <row r="164" customFormat="false" ht="15" hidden="false" customHeight="false" outlineLevel="0" collapsed="false">
      <c r="A164" s="23" t="s">
        <v>93</v>
      </c>
      <c r="B164" s="23" t="s">
        <v>114</v>
      </c>
      <c r="C164" s="23" t="s">
        <v>82</v>
      </c>
      <c r="D164" s="23" t="s">
        <v>86</v>
      </c>
      <c r="E164" s="23" t="n">
        <v>585.16</v>
      </c>
      <c r="F164" s="23" t="n">
        <v>17</v>
      </c>
      <c r="G164" s="23" t="n">
        <v>0.1</v>
      </c>
      <c r="H164" s="24" t="n">
        <v>45684</v>
      </c>
      <c r="I164" s="23" t="n">
        <v>263.32</v>
      </c>
      <c r="J164" s="25" t="n">
        <f aca="true">NOW()</f>
        <v>46304.4705747776</v>
      </c>
      <c r="K164" s="26" t="n">
        <f aca="false">DATE(YEAR(H164),MONTH(H164),1)</f>
        <v>45658</v>
      </c>
      <c r="L164" s="27" t="n">
        <f aca="false">E164/(1-G164)</f>
        <v>650.177777777778</v>
      </c>
      <c r="M164" s="27" t="n">
        <f aca="false">E164-I164</f>
        <v>321.84</v>
      </c>
      <c r="N164" s="28" t="n">
        <f aca="false">I164/E164</f>
        <v>0.449996582131383</v>
      </c>
    </row>
    <row r="165" customFormat="false" ht="15" hidden="false" customHeight="false" outlineLevel="0" collapsed="false">
      <c r="A165" s="23" t="s">
        <v>93</v>
      </c>
      <c r="B165" s="23" t="s">
        <v>102</v>
      </c>
      <c r="C165" s="23" t="s">
        <v>89</v>
      </c>
      <c r="D165" s="23" t="s">
        <v>86</v>
      </c>
      <c r="E165" s="23" t="n">
        <v>1109.98</v>
      </c>
      <c r="F165" s="23" t="n">
        <v>5</v>
      </c>
      <c r="G165" s="23" t="n">
        <v>0.2</v>
      </c>
      <c r="H165" s="24" t="n">
        <v>45690</v>
      </c>
      <c r="I165" s="23" t="n">
        <v>443.99</v>
      </c>
      <c r="J165" s="25" t="n">
        <f aca="true">NOW()</f>
        <v>46304.4705747776</v>
      </c>
      <c r="K165" s="26" t="n">
        <f aca="false">DATE(YEAR(H165),MONTH(H165),1)</f>
        <v>45689</v>
      </c>
      <c r="L165" s="27" t="n">
        <f aca="false">E165/(1-G165)</f>
        <v>1387.475</v>
      </c>
      <c r="M165" s="27" t="n">
        <f aca="false">E165-I165</f>
        <v>665.99</v>
      </c>
      <c r="N165" s="28" t="n">
        <f aca="false">I165/E165</f>
        <v>0.399998198165733</v>
      </c>
    </row>
    <row r="166" customFormat="false" ht="15" hidden="false" customHeight="false" outlineLevel="0" collapsed="false">
      <c r="A166" s="23" t="s">
        <v>129</v>
      </c>
      <c r="B166" s="23" t="s">
        <v>116</v>
      </c>
      <c r="C166" s="23" t="s">
        <v>89</v>
      </c>
      <c r="D166" s="23" t="s">
        <v>83</v>
      </c>
      <c r="E166" s="23" t="n">
        <v>1098.08</v>
      </c>
      <c r="F166" s="23" t="n">
        <v>9</v>
      </c>
      <c r="G166" s="23" t="n">
        <v>0.1</v>
      </c>
      <c r="H166" s="24" t="n">
        <v>45692</v>
      </c>
      <c r="I166" s="23" t="n">
        <v>395.31</v>
      </c>
      <c r="J166" s="25" t="n">
        <f aca="true">NOW()</f>
        <v>46304.4705747776</v>
      </c>
      <c r="K166" s="26" t="n">
        <f aca="false">DATE(YEAR(H166),MONTH(H166),1)</f>
        <v>45689</v>
      </c>
      <c r="L166" s="27" t="n">
        <f aca="false">E166/(1-G166)</f>
        <v>1220.08888888889</v>
      </c>
      <c r="M166" s="27" t="n">
        <f aca="false">E166-I166</f>
        <v>702.77</v>
      </c>
      <c r="N166" s="28" t="n">
        <f aca="false">I166/E166</f>
        <v>0.360001092816553</v>
      </c>
    </row>
    <row r="167" customFormat="false" ht="15" hidden="false" customHeight="false" outlineLevel="0" collapsed="false">
      <c r="A167" s="23" t="s">
        <v>137</v>
      </c>
      <c r="B167" s="23" t="s">
        <v>130</v>
      </c>
      <c r="C167" s="23" t="s">
        <v>82</v>
      </c>
      <c r="D167" s="23" t="s">
        <v>110</v>
      </c>
      <c r="E167" s="23" t="n">
        <v>827.25</v>
      </c>
      <c r="F167" s="23" t="n">
        <v>7</v>
      </c>
      <c r="G167" s="23" t="n">
        <v>0.1</v>
      </c>
      <c r="H167" s="24" t="n">
        <v>45693</v>
      </c>
      <c r="I167" s="23" t="n">
        <v>335.04</v>
      </c>
      <c r="J167" s="25" t="n">
        <f aca="true">NOW()</f>
        <v>46304.4705747776</v>
      </c>
      <c r="K167" s="26" t="n">
        <f aca="false">DATE(YEAR(H167),MONTH(H167),1)</f>
        <v>45689</v>
      </c>
      <c r="L167" s="27" t="n">
        <f aca="false">E167/(1-G167)</f>
        <v>919.166666666667</v>
      </c>
      <c r="M167" s="27" t="n">
        <f aca="false">E167-I167</f>
        <v>492.21</v>
      </c>
      <c r="N167" s="28" t="n">
        <f aca="false">I167/E167</f>
        <v>0.405004533091569</v>
      </c>
    </row>
    <row r="168" customFormat="false" ht="15" hidden="false" customHeight="false" outlineLevel="0" collapsed="false">
      <c r="A168" s="23" t="s">
        <v>142</v>
      </c>
      <c r="B168" s="23" t="s">
        <v>100</v>
      </c>
      <c r="C168" s="23" t="s">
        <v>105</v>
      </c>
      <c r="D168" s="23" t="s">
        <v>86</v>
      </c>
      <c r="E168" s="23" t="n">
        <v>741.88</v>
      </c>
      <c r="F168" s="23" t="n">
        <v>16</v>
      </c>
      <c r="G168" s="23" t="n">
        <v>0.1</v>
      </c>
      <c r="H168" s="24" t="n">
        <v>45695</v>
      </c>
      <c r="I168" s="23" t="n">
        <v>333.85</v>
      </c>
      <c r="J168" s="25" t="n">
        <f aca="true">NOW()</f>
        <v>46304.4705747776</v>
      </c>
      <c r="K168" s="26" t="n">
        <f aca="false">DATE(YEAR(H168),MONTH(H168),1)</f>
        <v>45689</v>
      </c>
      <c r="L168" s="27" t="n">
        <f aca="false">E168/(1-G168)</f>
        <v>824.311111111111</v>
      </c>
      <c r="M168" s="27" t="n">
        <f aca="false">E168-I168</f>
        <v>408.03</v>
      </c>
      <c r="N168" s="28" t="n">
        <f aca="false">I168/E168</f>
        <v>0.450005391707554</v>
      </c>
    </row>
    <row r="169" customFormat="false" ht="15" hidden="false" customHeight="false" outlineLevel="0" collapsed="false">
      <c r="A169" s="23" t="s">
        <v>144</v>
      </c>
      <c r="B169" s="23" t="s">
        <v>81</v>
      </c>
      <c r="C169" s="23" t="s">
        <v>89</v>
      </c>
      <c r="D169" s="23" t="s">
        <v>110</v>
      </c>
      <c r="E169" s="23" t="n">
        <v>1311.26</v>
      </c>
      <c r="F169" s="23" t="n">
        <v>6</v>
      </c>
      <c r="G169" s="23" t="n">
        <v>0.1</v>
      </c>
      <c r="H169" s="24" t="n">
        <v>45698</v>
      </c>
      <c r="I169" s="23" t="n">
        <v>531.06</v>
      </c>
      <c r="J169" s="25" t="n">
        <f aca="true">NOW()</f>
        <v>46304.4705747776</v>
      </c>
      <c r="K169" s="26" t="n">
        <f aca="false">DATE(YEAR(H169),MONTH(H169),1)</f>
        <v>45689</v>
      </c>
      <c r="L169" s="27" t="n">
        <f aca="false">E169/(1-G169)</f>
        <v>1456.95555555556</v>
      </c>
      <c r="M169" s="27" t="n">
        <f aca="false">E169-I169</f>
        <v>780.2</v>
      </c>
      <c r="N169" s="28" t="n">
        <f aca="false">I169/E169</f>
        <v>0.404999771212422</v>
      </c>
    </row>
    <row r="170" customFormat="false" ht="15" hidden="false" customHeight="false" outlineLevel="0" collapsed="false">
      <c r="A170" s="23" t="s">
        <v>144</v>
      </c>
      <c r="B170" s="23" t="s">
        <v>102</v>
      </c>
      <c r="C170" s="23" t="s">
        <v>91</v>
      </c>
      <c r="D170" s="23" t="s">
        <v>110</v>
      </c>
      <c r="E170" s="23" t="n">
        <v>573.32</v>
      </c>
      <c r="F170" s="23" t="n">
        <v>19</v>
      </c>
      <c r="G170" s="23" t="n">
        <v>0.1</v>
      </c>
      <c r="H170" s="24" t="n">
        <v>45703</v>
      </c>
      <c r="I170" s="23" t="n">
        <v>232.19</v>
      </c>
      <c r="J170" s="25" t="n">
        <f aca="true">NOW()</f>
        <v>46304.4705747776</v>
      </c>
      <c r="K170" s="26" t="n">
        <f aca="false">DATE(YEAR(H170),MONTH(H170),1)</f>
        <v>45689</v>
      </c>
      <c r="L170" s="27" t="n">
        <f aca="false">E170/(1-G170)</f>
        <v>637.022222222222</v>
      </c>
      <c r="M170" s="27" t="n">
        <f aca="false">E170-I170</f>
        <v>341.13</v>
      </c>
      <c r="N170" s="28" t="n">
        <f aca="false">I170/E170</f>
        <v>0.404991976557594</v>
      </c>
    </row>
    <row r="171" customFormat="false" ht="15" hidden="false" customHeight="false" outlineLevel="0" collapsed="false">
      <c r="A171" s="23" t="s">
        <v>123</v>
      </c>
      <c r="B171" s="23" t="s">
        <v>94</v>
      </c>
      <c r="C171" s="23" t="s">
        <v>82</v>
      </c>
      <c r="D171" s="23" t="s">
        <v>92</v>
      </c>
      <c r="E171" s="23" t="n">
        <v>1115.22</v>
      </c>
      <c r="F171" s="23" t="n">
        <v>14</v>
      </c>
      <c r="G171" s="23" t="n">
        <v>0.2</v>
      </c>
      <c r="H171" s="24" t="n">
        <v>45705</v>
      </c>
      <c r="I171" s="23" t="n">
        <v>223.04</v>
      </c>
      <c r="J171" s="25" t="n">
        <f aca="true">NOW()</f>
        <v>46304.4705747776</v>
      </c>
      <c r="K171" s="26" t="n">
        <f aca="false">DATE(YEAR(H171),MONTH(H171),1)</f>
        <v>45689</v>
      </c>
      <c r="L171" s="27" t="n">
        <f aca="false">E171/(1-G171)</f>
        <v>1394.025</v>
      </c>
      <c r="M171" s="27" t="n">
        <f aca="false">E171-I171</f>
        <v>892.18</v>
      </c>
      <c r="N171" s="28" t="n">
        <f aca="false">I171/E171</f>
        <v>0.199996413263751</v>
      </c>
    </row>
    <row r="172" customFormat="false" ht="15" hidden="false" customHeight="false" outlineLevel="0" collapsed="false">
      <c r="A172" s="23" t="s">
        <v>84</v>
      </c>
      <c r="B172" s="23" t="s">
        <v>116</v>
      </c>
      <c r="C172" s="23" t="s">
        <v>95</v>
      </c>
      <c r="D172" s="23" t="s">
        <v>86</v>
      </c>
      <c r="E172" s="23" t="n">
        <v>845.84</v>
      </c>
      <c r="F172" s="23" t="n">
        <v>4</v>
      </c>
      <c r="G172" s="23" t="n">
        <v>0</v>
      </c>
      <c r="H172" s="24" t="n">
        <v>45707</v>
      </c>
      <c r="I172" s="23" t="n">
        <v>422.92</v>
      </c>
      <c r="J172" s="25" t="n">
        <f aca="true">NOW()</f>
        <v>46304.4705747776</v>
      </c>
      <c r="K172" s="26" t="n">
        <f aca="false">DATE(YEAR(H172),MONTH(H172),1)</f>
        <v>45689</v>
      </c>
      <c r="L172" s="27" t="n">
        <f aca="false">E172/(1-G172)</f>
        <v>845.84</v>
      </c>
      <c r="M172" s="27" t="n">
        <f aca="false">E172-I172</f>
        <v>422.92</v>
      </c>
      <c r="N172" s="28" t="n">
        <f aca="false">I172/E172</f>
        <v>0.5</v>
      </c>
    </row>
    <row r="173" customFormat="false" ht="15" hidden="false" customHeight="false" outlineLevel="0" collapsed="false">
      <c r="A173" s="23" t="s">
        <v>101</v>
      </c>
      <c r="B173" s="23" t="s">
        <v>126</v>
      </c>
      <c r="C173" s="23" t="s">
        <v>82</v>
      </c>
      <c r="D173" s="23" t="s">
        <v>92</v>
      </c>
      <c r="E173" s="23" t="n">
        <v>1029.8</v>
      </c>
      <c r="F173" s="23" t="n">
        <v>3</v>
      </c>
      <c r="G173" s="23" t="n">
        <v>0</v>
      </c>
      <c r="H173" s="24" t="n">
        <v>45708</v>
      </c>
      <c r="I173" s="23" t="n">
        <v>257.45</v>
      </c>
      <c r="J173" s="25" t="n">
        <f aca="true">NOW()</f>
        <v>46304.4705747776</v>
      </c>
      <c r="K173" s="26" t="n">
        <f aca="false">DATE(YEAR(H173),MONTH(H173),1)</f>
        <v>45689</v>
      </c>
      <c r="L173" s="27" t="n">
        <f aca="false">E173/(1-G173)</f>
        <v>1029.8</v>
      </c>
      <c r="M173" s="27" t="n">
        <f aca="false">E173-I173</f>
        <v>772.35</v>
      </c>
      <c r="N173" s="28" t="n">
        <f aca="false">I173/E173</f>
        <v>0.25</v>
      </c>
    </row>
    <row r="174" customFormat="false" ht="15" hidden="false" customHeight="false" outlineLevel="0" collapsed="false">
      <c r="A174" s="23" t="s">
        <v>103</v>
      </c>
      <c r="B174" s="23" t="s">
        <v>102</v>
      </c>
      <c r="C174" s="23" t="s">
        <v>95</v>
      </c>
      <c r="D174" s="23" t="s">
        <v>83</v>
      </c>
      <c r="E174" s="23" t="n">
        <v>1189.83</v>
      </c>
      <c r="F174" s="23" t="n">
        <v>2</v>
      </c>
      <c r="G174" s="23" t="n">
        <v>0.2</v>
      </c>
      <c r="H174" s="24" t="n">
        <v>45709</v>
      </c>
      <c r="I174" s="23" t="n">
        <v>380.75</v>
      </c>
      <c r="J174" s="25" t="n">
        <f aca="true">NOW()</f>
        <v>46304.4705747776</v>
      </c>
      <c r="K174" s="26" t="n">
        <f aca="false">DATE(YEAR(H174),MONTH(H174),1)</f>
        <v>45689</v>
      </c>
      <c r="L174" s="27" t="n">
        <f aca="false">E174/(1-G174)</f>
        <v>1487.2875</v>
      </c>
      <c r="M174" s="27" t="n">
        <f aca="false">E174-I174</f>
        <v>809.08</v>
      </c>
      <c r="N174" s="28" t="n">
        <f aca="false">I174/E174</f>
        <v>0.320003698007278</v>
      </c>
    </row>
    <row r="175" customFormat="false" ht="15" hidden="false" customHeight="false" outlineLevel="0" collapsed="false">
      <c r="A175" s="23" t="s">
        <v>139</v>
      </c>
      <c r="B175" s="23" t="s">
        <v>114</v>
      </c>
      <c r="C175" s="23" t="s">
        <v>91</v>
      </c>
      <c r="D175" s="23" t="s">
        <v>83</v>
      </c>
      <c r="E175" s="23" t="n">
        <v>704.28</v>
      </c>
      <c r="F175" s="23" t="n">
        <v>15</v>
      </c>
      <c r="G175" s="23" t="n">
        <v>0.2</v>
      </c>
      <c r="H175" s="24" t="n">
        <v>45712</v>
      </c>
      <c r="I175" s="23" t="n">
        <v>225.37</v>
      </c>
      <c r="J175" s="25" t="n">
        <f aca="true">NOW()</f>
        <v>46304.4705747776</v>
      </c>
      <c r="K175" s="26" t="n">
        <f aca="false">DATE(YEAR(H175),MONTH(H175),1)</f>
        <v>45689</v>
      </c>
      <c r="L175" s="27" t="n">
        <f aca="false">E175/(1-G175)</f>
        <v>880.35</v>
      </c>
      <c r="M175" s="27" t="n">
        <f aca="false">E175-I175</f>
        <v>478.91</v>
      </c>
      <c r="N175" s="28" t="n">
        <f aca="false">I175/E175</f>
        <v>0.320000567955927</v>
      </c>
    </row>
    <row r="176" customFormat="false" ht="15" hidden="false" customHeight="false" outlineLevel="0" collapsed="false">
      <c r="A176" s="23" t="s">
        <v>137</v>
      </c>
      <c r="B176" s="23" t="s">
        <v>118</v>
      </c>
      <c r="C176" s="23" t="s">
        <v>105</v>
      </c>
      <c r="D176" s="23" t="s">
        <v>110</v>
      </c>
      <c r="E176" s="23" t="n">
        <v>1618.22</v>
      </c>
      <c r="F176" s="23" t="n">
        <v>12</v>
      </c>
      <c r="G176" s="23" t="n">
        <v>0.2</v>
      </c>
      <c r="H176" s="24" t="n">
        <v>45712</v>
      </c>
      <c r="I176" s="23" t="n">
        <v>582.56</v>
      </c>
      <c r="J176" s="25" t="n">
        <f aca="true">NOW()</f>
        <v>46304.4705747776</v>
      </c>
      <c r="K176" s="26" t="n">
        <f aca="false">DATE(YEAR(H176),MONTH(H176),1)</f>
        <v>45689</v>
      </c>
      <c r="L176" s="27" t="n">
        <f aca="false">E176/(1-G176)</f>
        <v>2022.775</v>
      </c>
      <c r="M176" s="27" t="n">
        <f aca="false">E176-I176</f>
        <v>1035.66</v>
      </c>
      <c r="N176" s="28" t="n">
        <f aca="false">I176/E176</f>
        <v>0.360000494370358</v>
      </c>
    </row>
    <row r="177" customFormat="false" ht="15" hidden="false" customHeight="false" outlineLevel="0" collapsed="false">
      <c r="A177" s="23" t="s">
        <v>145</v>
      </c>
      <c r="B177" s="23" t="s">
        <v>124</v>
      </c>
      <c r="C177" s="23" t="s">
        <v>105</v>
      </c>
      <c r="D177" s="23" t="s">
        <v>83</v>
      </c>
      <c r="E177" s="23" t="n">
        <v>1014.43</v>
      </c>
      <c r="F177" s="23" t="n">
        <v>2</v>
      </c>
      <c r="G177" s="23" t="n">
        <v>0.15</v>
      </c>
      <c r="H177" s="24" t="n">
        <v>45713</v>
      </c>
      <c r="I177" s="23" t="n">
        <v>344.91</v>
      </c>
      <c r="J177" s="25" t="n">
        <f aca="true">NOW()</f>
        <v>46304.4705747776</v>
      </c>
      <c r="K177" s="26" t="n">
        <f aca="false">DATE(YEAR(H177),MONTH(H177),1)</f>
        <v>45689</v>
      </c>
      <c r="L177" s="27" t="n">
        <f aca="false">E177/(1-G177)</f>
        <v>1193.44705882353</v>
      </c>
      <c r="M177" s="27" t="n">
        <f aca="false">E177-I177</f>
        <v>669.52</v>
      </c>
      <c r="N177" s="28" t="n">
        <f aca="false">I177/E177</f>
        <v>0.340003745945999</v>
      </c>
    </row>
    <row r="178" customFormat="false" ht="15" hidden="false" customHeight="false" outlineLevel="0" collapsed="false">
      <c r="A178" s="23" t="s">
        <v>147</v>
      </c>
      <c r="B178" s="23" t="s">
        <v>102</v>
      </c>
      <c r="C178" s="23" t="s">
        <v>105</v>
      </c>
      <c r="D178" s="23" t="s">
        <v>86</v>
      </c>
      <c r="E178" s="23" t="n">
        <v>826.97</v>
      </c>
      <c r="F178" s="23" t="n">
        <v>18</v>
      </c>
      <c r="G178" s="23" t="n">
        <v>0.2</v>
      </c>
      <c r="H178" s="24" t="n">
        <v>45715</v>
      </c>
      <c r="I178" s="23" t="n">
        <v>330.79</v>
      </c>
      <c r="J178" s="25" t="n">
        <f aca="true">NOW()</f>
        <v>46304.4705747776</v>
      </c>
      <c r="K178" s="26" t="n">
        <f aca="false">DATE(YEAR(H178),MONTH(H178),1)</f>
        <v>45689</v>
      </c>
      <c r="L178" s="27" t="n">
        <f aca="false">E178/(1-G178)</f>
        <v>1033.7125</v>
      </c>
      <c r="M178" s="27" t="n">
        <f aca="false">E178-I178</f>
        <v>496.18</v>
      </c>
      <c r="N178" s="28" t="n">
        <f aca="false">I178/E178</f>
        <v>0.400002418467417</v>
      </c>
    </row>
    <row r="179" customFormat="false" ht="15" hidden="false" customHeight="false" outlineLevel="0" collapsed="false">
      <c r="A179" s="23" t="s">
        <v>87</v>
      </c>
      <c r="B179" s="23" t="s">
        <v>102</v>
      </c>
      <c r="C179" s="23" t="s">
        <v>105</v>
      </c>
      <c r="D179" s="23" t="s">
        <v>86</v>
      </c>
      <c r="E179" s="23" t="n">
        <v>1022.23</v>
      </c>
      <c r="F179" s="23" t="n">
        <v>8</v>
      </c>
      <c r="G179" s="23" t="n">
        <v>0.1</v>
      </c>
      <c r="H179" s="24" t="n">
        <v>45717</v>
      </c>
      <c r="I179" s="23" t="n">
        <v>460</v>
      </c>
      <c r="J179" s="25" t="n">
        <f aca="true">NOW()</f>
        <v>46304.4705747776</v>
      </c>
      <c r="K179" s="26" t="n">
        <f aca="false">DATE(YEAR(H179),MONTH(H179),1)</f>
        <v>45717</v>
      </c>
      <c r="L179" s="27" t="n">
        <f aca="false">E179/(1-G179)</f>
        <v>1135.81111111111</v>
      </c>
      <c r="M179" s="27" t="n">
        <f aca="false">E179-I179</f>
        <v>562.23</v>
      </c>
      <c r="N179" s="28" t="n">
        <f aca="false">I179/E179</f>
        <v>0.449996576113008</v>
      </c>
    </row>
    <row r="180" customFormat="false" ht="15" hidden="false" customHeight="false" outlineLevel="0" collapsed="false">
      <c r="A180" s="23" t="s">
        <v>144</v>
      </c>
      <c r="B180" s="23" t="s">
        <v>100</v>
      </c>
      <c r="C180" s="23" t="s">
        <v>89</v>
      </c>
      <c r="D180" s="23" t="s">
        <v>83</v>
      </c>
      <c r="E180" s="23" t="n">
        <v>1099.69</v>
      </c>
      <c r="F180" s="23" t="n">
        <v>6</v>
      </c>
      <c r="G180" s="23" t="n">
        <v>0</v>
      </c>
      <c r="H180" s="24" t="n">
        <v>45718</v>
      </c>
      <c r="I180" s="23" t="n">
        <v>439.88</v>
      </c>
      <c r="J180" s="25" t="n">
        <f aca="true">NOW()</f>
        <v>46304.4705747776</v>
      </c>
      <c r="K180" s="26" t="n">
        <f aca="false">DATE(YEAR(H180),MONTH(H180),1)</f>
        <v>45717</v>
      </c>
      <c r="L180" s="27" t="n">
        <f aca="false">E180/(1-G180)</f>
        <v>1099.69</v>
      </c>
      <c r="M180" s="27" t="n">
        <f aca="false">E180-I180</f>
        <v>659.81</v>
      </c>
      <c r="N180" s="28" t="n">
        <f aca="false">I180/E180</f>
        <v>0.400003637388719</v>
      </c>
    </row>
    <row r="181" customFormat="false" ht="15" hidden="false" customHeight="false" outlineLevel="0" collapsed="false">
      <c r="A181" s="23" t="s">
        <v>123</v>
      </c>
      <c r="B181" s="23" t="s">
        <v>136</v>
      </c>
      <c r="C181" s="23" t="s">
        <v>95</v>
      </c>
      <c r="D181" s="23" t="s">
        <v>83</v>
      </c>
      <c r="E181" s="23" t="n">
        <v>710.52</v>
      </c>
      <c r="F181" s="23" t="n">
        <v>8</v>
      </c>
      <c r="G181" s="23" t="n">
        <v>0.1</v>
      </c>
      <c r="H181" s="24" t="n">
        <v>45721</v>
      </c>
      <c r="I181" s="23" t="n">
        <v>255.79</v>
      </c>
      <c r="J181" s="25" t="n">
        <f aca="true">NOW()</f>
        <v>46304.4705747776</v>
      </c>
      <c r="K181" s="26" t="n">
        <f aca="false">DATE(YEAR(H181),MONTH(H181),1)</f>
        <v>45717</v>
      </c>
      <c r="L181" s="27" t="n">
        <f aca="false">E181/(1-G181)</f>
        <v>789.466666666667</v>
      </c>
      <c r="M181" s="27" t="n">
        <f aca="false">E181-I181</f>
        <v>454.73</v>
      </c>
      <c r="N181" s="28" t="n">
        <f aca="false">I181/E181</f>
        <v>0.36000394077577</v>
      </c>
    </row>
    <row r="182" customFormat="false" ht="15" hidden="false" customHeight="false" outlineLevel="0" collapsed="false">
      <c r="A182" s="23" t="s">
        <v>123</v>
      </c>
      <c r="B182" s="23" t="s">
        <v>131</v>
      </c>
      <c r="C182" s="23" t="s">
        <v>95</v>
      </c>
      <c r="D182" s="23" t="s">
        <v>83</v>
      </c>
      <c r="E182" s="23" t="n">
        <v>499.18</v>
      </c>
      <c r="F182" s="23" t="n">
        <v>15</v>
      </c>
      <c r="G182" s="23" t="n">
        <v>0.2</v>
      </c>
      <c r="H182" s="24" t="n">
        <v>45724</v>
      </c>
      <c r="I182" s="23" t="n">
        <v>159.74</v>
      </c>
      <c r="J182" s="25" t="n">
        <f aca="true">NOW()</f>
        <v>46304.4705747776</v>
      </c>
      <c r="K182" s="26" t="n">
        <f aca="false">DATE(YEAR(H182),MONTH(H182),1)</f>
        <v>45717</v>
      </c>
      <c r="L182" s="27" t="n">
        <f aca="false">E182/(1-G182)</f>
        <v>623.975</v>
      </c>
      <c r="M182" s="27" t="n">
        <f aca="false">E182-I182</f>
        <v>339.44</v>
      </c>
      <c r="N182" s="28" t="n">
        <f aca="false">I182/E182</f>
        <v>0.320004807884931</v>
      </c>
    </row>
    <row r="183" customFormat="false" ht="15" hidden="false" customHeight="false" outlineLevel="0" collapsed="false">
      <c r="A183" s="23" t="s">
        <v>108</v>
      </c>
      <c r="B183" s="23" t="s">
        <v>109</v>
      </c>
      <c r="C183" s="23" t="s">
        <v>91</v>
      </c>
      <c r="D183" s="23" t="s">
        <v>83</v>
      </c>
      <c r="E183" s="23" t="n">
        <v>1064.19</v>
      </c>
      <c r="F183" s="23" t="n">
        <v>18</v>
      </c>
      <c r="G183" s="23" t="n">
        <v>0.05</v>
      </c>
      <c r="H183" s="24" t="n">
        <v>45725</v>
      </c>
      <c r="I183" s="23" t="n">
        <v>404.39</v>
      </c>
      <c r="J183" s="25" t="n">
        <f aca="true">NOW()</f>
        <v>46304.4705747776</v>
      </c>
      <c r="K183" s="26" t="n">
        <f aca="false">DATE(YEAR(H183),MONTH(H183),1)</f>
        <v>45717</v>
      </c>
      <c r="L183" s="27" t="n">
        <f aca="false">E183/(1-G183)</f>
        <v>1120.2</v>
      </c>
      <c r="M183" s="27" t="n">
        <f aca="false">E183-I183</f>
        <v>659.8</v>
      </c>
      <c r="N183" s="28" t="n">
        <f aca="false">I183/E183</f>
        <v>0.379997932699988</v>
      </c>
    </row>
    <row r="184" customFormat="false" ht="15" hidden="false" customHeight="false" outlineLevel="0" collapsed="false">
      <c r="A184" s="23" t="s">
        <v>139</v>
      </c>
      <c r="B184" s="23" t="s">
        <v>109</v>
      </c>
      <c r="C184" s="23" t="s">
        <v>89</v>
      </c>
      <c r="D184" s="23" t="s">
        <v>110</v>
      </c>
      <c r="E184" s="23" t="n">
        <v>438.76</v>
      </c>
      <c r="F184" s="23" t="n">
        <v>18</v>
      </c>
      <c r="G184" s="23" t="n">
        <v>0.05</v>
      </c>
      <c r="H184" s="24" t="n">
        <v>45726</v>
      </c>
      <c r="I184" s="23" t="n">
        <v>187.57</v>
      </c>
      <c r="J184" s="25" t="n">
        <f aca="true">NOW()</f>
        <v>46304.4705747777</v>
      </c>
      <c r="K184" s="26" t="n">
        <f aca="false">DATE(YEAR(H184),MONTH(H184),1)</f>
        <v>45717</v>
      </c>
      <c r="L184" s="27" t="n">
        <f aca="false">E184/(1-G184)</f>
        <v>461.852631578947</v>
      </c>
      <c r="M184" s="27" t="n">
        <f aca="false">E184-I184</f>
        <v>251.19</v>
      </c>
      <c r="N184" s="28" t="n">
        <f aca="false">I184/E184</f>
        <v>0.427500227915033</v>
      </c>
    </row>
    <row r="185" customFormat="false" ht="15" hidden="false" customHeight="false" outlineLevel="0" collapsed="false">
      <c r="A185" s="23" t="s">
        <v>112</v>
      </c>
      <c r="B185" s="23" t="s">
        <v>126</v>
      </c>
      <c r="C185" s="23" t="s">
        <v>82</v>
      </c>
      <c r="D185" s="23" t="s">
        <v>86</v>
      </c>
      <c r="E185" s="23" t="n">
        <v>864.98</v>
      </c>
      <c r="F185" s="23" t="n">
        <v>2</v>
      </c>
      <c r="G185" s="23" t="n">
        <v>0.05</v>
      </c>
      <c r="H185" s="24" t="n">
        <v>45727</v>
      </c>
      <c r="I185" s="23" t="n">
        <v>410.87</v>
      </c>
      <c r="J185" s="25" t="n">
        <f aca="true">NOW()</f>
        <v>46304.4705747777</v>
      </c>
      <c r="K185" s="26" t="n">
        <f aca="false">DATE(YEAR(H185),MONTH(H185),1)</f>
        <v>45717</v>
      </c>
      <c r="L185" s="27" t="n">
        <f aca="false">E185/(1-G185)</f>
        <v>910.505263157895</v>
      </c>
      <c r="M185" s="27" t="n">
        <f aca="false">E185-I185</f>
        <v>454.11</v>
      </c>
      <c r="N185" s="28" t="n">
        <f aca="false">I185/E185</f>
        <v>0.475005202432426</v>
      </c>
    </row>
    <row r="186" customFormat="false" ht="15" hidden="false" customHeight="false" outlineLevel="0" collapsed="false">
      <c r="A186" s="23" t="s">
        <v>128</v>
      </c>
      <c r="B186" s="23" t="s">
        <v>126</v>
      </c>
      <c r="C186" s="23" t="s">
        <v>82</v>
      </c>
      <c r="D186" s="23" t="s">
        <v>98</v>
      </c>
      <c r="E186" s="23" t="n">
        <v>984.93</v>
      </c>
      <c r="F186" s="23" t="n">
        <v>14</v>
      </c>
      <c r="G186" s="23" t="n">
        <v>0.2</v>
      </c>
      <c r="H186" s="24" t="n">
        <v>45733</v>
      </c>
      <c r="I186" s="23" t="n">
        <v>275.78</v>
      </c>
      <c r="J186" s="25" t="n">
        <f aca="true">NOW()</f>
        <v>46304.4705747777</v>
      </c>
      <c r="K186" s="26" t="n">
        <f aca="false">DATE(YEAR(H186),MONTH(H186),1)</f>
        <v>45717</v>
      </c>
      <c r="L186" s="27" t="n">
        <f aca="false">E186/(1-G186)</f>
        <v>1231.1625</v>
      </c>
      <c r="M186" s="27" t="n">
        <f aca="false">E186-I186</f>
        <v>709.15</v>
      </c>
      <c r="N186" s="28" t="n">
        <f aca="false">I186/E186</f>
        <v>0.279999593879768</v>
      </c>
    </row>
    <row r="187" customFormat="false" ht="15" hidden="false" customHeight="false" outlineLevel="0" collapsed="false">
      <c r="A187" s="23" t="s">
        <v>96</v>
      </c>
      <c r="B187" s="23" t="s">
        <v>126</v>
      </c>
      <c r="C187" s="23" t="s">
        <v>82</v>
      </c>
      <c r="D187" s="23" t="s">
        <v>86</v>
      </c>
      <c r="E187" s="23" t="n">
        <v>1493.49</v>
      </c>
      <c r="F187" s="23" t="n">
        <v>18</v>
      </c>
      <c r="G187" s="23" t="n">
        <v>0</v>
      </c>
      <c r="H187" s="24" t="n">
        <v>45734</v>
      </c>
      <c r="I187" s="23" t="n">
        <v>746.74</v>
      </c>
      <c r="J187" s="25" t="n">
        <f aca="true">NOW()</f>
        <v>46304.4705747777</v>
      </c>
      <c r="K187" s="26" t="n">
        <f aca="false">DATE(YEAR(H187),MONTH(H187),1)</f>
        <v>45717</v>
      </c>
      <c r="L187" s="27" t="n">
        <f aca="false">E187/(1-G187)</f>
        <v>1493.49</v>
      </c>
      <c r="M187" s="27" t="n">
        <f aca="false">E187-I187</f>
        <v>746.75</v>
      </c>
      <c r="N187" s="28" t="n">
        <f aca="false">I187/E187</f>
        <v>0.499996652136941</v>
      </c>
    </row>
    <row r="188" customFormat="false" ht="15" hidden="false" customHeight="false" outlineLevel="0" collapsed="false">
      <c r="A188" s="23" t="s">
        <v>103</v>
      </c>
      <c r="B188" s="23" t="s">
        <v>124</v>
      </c>
      <c r="C188" s="23" t="s">
        <v>91</v>
      </c>
      <c r="D188" s="23" t="s">
        <v>86</v>
      </c>
      <c r="E188" s="23" t="n">
        <v>689.43</v>
      </c>
      <c r="F188" s="23" t="n">
        <v>9</v>
      </c>
      <c r="G188" s="23" t="n">
        <v>0.1</v>
      </c>
      <c r="H188" s="24" t="n">
        <v>45736</v>
      </c>
      <c r="I188" s="23" t="n">
        <v>310.24</v>
      </c>
      <c r="J188" s="25" t="n">
        <f aca="true">NOW()</f>
        <v>46304.4705747777</v>
      </c>
      <c r="K188" s="26" t="n">
        <f aca="false">DATE(YEAR(H188),MONTH(H188),1)</f>
        <v>45717</v>
      </c>
      <c r="L188" s="27" t="n">
        <f aca="false">E188/(1-G188)</f>
        <v>766.033333333333</v>
      </c>
      <c r="M188" s="27" t="n">
        <f aca="false">E188-I188</f>
        <v>379.19</v>
      </c>
      <c r="N188" s="28" t="n">
        <f aca="false">I188/E188</f>
        <v>0.449994923342471</v>
      </c>
    </row>
    <row r="189" customFormat="false" ht="15" hidden="false" customHeight="false" outlineLevel="0" collapsed="false">
      <c r="A189" s="23" t="s">
        <v>111</v>
      </c>
      <c r="B189" s="23" t="s">
        <v>131</v>
      </c>
      <c r="C189" s="23" t="s">
        <v>91</v>
      </c>
      <c r="D189" s="23" t="s">
        <v>86</v>
      </c>
      <c r="E189" s="23" t="n">
        <v>682.24</v>
      </c>
      <c r="F189" s="23" t="n">
        <v>1</v>
      </c>
      <c r="G189" s="23" t="n">
        <v>0</v>
      </c>
      <c r="H189" s="24" t="n">
        <v>45738</v>
      </c>
      <c r="I189" s="23" t="n">
        <v>341.12</v>
      </c>
      <c r="J189" s="25" t="n">
        <f aca="true">NOW()</f>
        <v>46304.4705747777</v>
      </c>
      <c r="K189" s="26" t="n">
        <f aca="false">DATE(YEAR(H189),MONTH(H189),1)</f>
        <v>45717</v>
      </c>
      <c r="L189" s="27" t="n">
        <f aca="false">E189/(1-G189)</f>
        <v>682.24</v>
      </c>
      <c r="M189" s="27" t="n">
        <f aca="false">E189-I189</f>
        <v>341.12</v>
      </c>
      <c r="N189" s="28" t="n">
        <f aca="false">I189/E189</f>
        <v>0.5</v>
      </c>
    </row>
    <row r="190" customFormat="false" ht="15" hidden="false" customHeight="false" outlineLevel="0" collapsed="false">
      <c r="A190" s="23" t="s">
        <v>112</v>
      </c>
      <c r="B190" s="23" t="s">
        <v>97</v>
      </c>
      <c r="C190" s="23" t="s">
        <v>95</v>
      </c>
      <c r="D190" s="23" t="s">
        <v>92</v>
      </c>
      <c r="E190" s="23" t="n">
        <v>458.54</v>
      </c>
      <c r="F190" s="23" t="n">
        <v>15</v>
      </c>
      <c r="G190" s="23" t="n">
        <v>0.2</v>
      </c>
      <c r="H190" s="24" t="n">
        <v>45741</v>
      </c>
      <c r="I190" s="23" t="n">
        <v>91.71</v>
      </c>
      <c r="J190" s="25" t="n">
        <f aca="true">NOW()</f>
        <v>46304.4705747777</v>
      </c>
      <c r="K190" s="26" t="n">
        <f aca="false">DATE(YEAR(H190),MONTH(H190),1)</f>
        <v>45717</v>
      </c>
      <c r="L190" s="27" t="n">
        <f aca="false">E190/(1-G190)</f>
        <v>573.175</v>
      </c>
      <c r="M190" s="27" t="n">
        <f aca="false">E190-I190</f>
        <v>366.83</v>
      </c>
      <c r="N190" s="28" t="n">
        <f aca="false">I190/E190</f>
        <v>0.200004361669647</v>
      </c>
    </row>
    <row r="191" customFormat="false" ht="15" hidden="false" customHeight="false" outlineLevel="0" collapsed="false">
      <c r="A191" s="23" t="s">
        <v>103</v>
      </c>
      <c r="B191" s="23" t="s">
        <v>97</v>
      </c>
      <c r="C191" s="23" t="s">
        <v>91</v>
      </c>
      <c r="D191" s="23" t="s">
        <v>98</v>
      </c>
      <c r="E191" s="23" t="n">
        <v>1184.25</v>
      </c>
      <c r="F191" s="23" t="n">
        <v>11</v>
      </c>
      <c r="G191" s="23" t="n">
        <v>0.2</v>
      </c>
      <c r="H191" s="24" t="n">
        <v>45742</v>
      </c>
      <c r="I191" s="23" t="n">
        <v>331.59</v>
      </c>
      <c r="J191" s="25" t="n">
        <f aca="true">NOW()</f>
        <v>46304.4705747777</v>
      </c>
      <c r="K191" s="26" t="n">
        <f aca="false">DATE(YEAR(H191),MONTH(H191),1)</f>
        <v>45717</v>
      </c>
      <c r="L191" s="27" t="n">
        <f aca="false">E191/(1-G191)</f>
        <v>1480.3125</v>
      </c>
      <c r="M191" s="27" t="n">
        <f aca="false">E191-I191</f>
        <v>852.66</v>
      </c>
      <c r="N191" s="28" t="n">
        <f aca="false">I191/E191</f>
        <v>0.28</v>
      </c>
    </row>
    <row r="192" customFormat="false" ht="15" hidden="false" customHeight="false" outlineLevel="0" collapsed="false">
      <c r="A192" s="23" t="s">
        <v>96</v>
      </c>
      <c r="B192" s="23" t="s">
        <v>81</v>
      </c>
      <c r="C192" s="23" t="s">
        <v>91</v>
      </c>
      <c r="D192" s="23" t="s">
        <v>86</v>
      </c>
      <c r="E192" s="23" t="n">
        <v>762.14</v>
      </c>
      <c r="F192" s="23" t="n">
        <v>9</v>
      </c>
      <c r="G192" s="23" t="n">
        <v>0</v>
      </c>
      <c r="H192" s="24" t="n">
        <v>45743</v>
      </c>
      <c r="I192" s="23" t="n">
        <v>381.07</v>
      </c>
      <c r="J192" s="25" t="n">
        <f aca="true">NOW()</f>
        <v>46304.4705747777</v>
      </c>
      <c r="K192" s="26" t="n">
        <f aca="false">DATE(YEAR(H192),MONTH(H192),1)</f>
        <v>45717</v>
      </c>
      <c r="L192" s="27" t="n">
        <f aca="false">E192/(1-G192)</f>
        <v>762.14</v>
      </c>
      <c r="M192" s="27" t="n">
        <f aca="false">E192-I192</f>
        <v>381.07</v>
      </c>
      <c r="N192" s="28" t="n">
        <f aca="false">I192/E192</f>
        <v>0.5</v>
      </c>
    </row>
    <row r="193" customFormat="false" ht="15" hidden="false" customHeight="false" outlineLevel="0" collapsed="false">
      <c r="A193" s="23" t="s">
        <v>93</v>
      </c>
      <c r="B193" s="23" t="s">
        <v>124</v>
      </c>
      <c r="C193" s="23" t="s">
        <v>95</v>
      </c>
      <c r="D193" s="23" t="s">
        <v>83</v>
      </c>
      <c r="E193" s="23" t="n">
        <v>750.71</v>
      </c>
      <c r="F193" s="23" t="n">
        <v>10</v>
      </c>
      <c r="G193" s="23" t="n">
        <v>0.15</v>
      </c>
      <c r="H193" s="24" t="n">
        <v>45743</v>
      </c>
      <c r="I193" s="23" t="n">
        <v>255.24</v>
      </c>
      <c r="J193" s="25" t="n">
        <f aca="true">NOW()</f>
        <v>46304.4705747777</v>
      </c>
      <c r="K193" s="26" t="n">
        <f aca="false">DATE(YEAR(H193),MONTH(H193),1)</f>
        <v>45717</v>
      </c>
      <c r="L193" s="27" t="n">
        <f aca="false">E193/(1-G193)</f>
        <v>883.188235294118</v>
      </c>
      <c r="M193" s="27" t="n">
        <f aca="false">E193-I193</f>
        <v>495.47</v>
      </c>
      <c r="N193" s="28" t="n">
        <f aca="false">I193/E193</f>
        <v>0.339998135098773</v>
      </c>
    </row>
    <row r="194" customFormat="false" ht="15" hidden="false" customHeight="false" outlineLevel="0" collapsed="false">
      <c r="A194" s="23" t="s">
        <v>147</v>
      </c>
      <c r="B194" s="23" t="s">
        <v>143</v>
      </c>
      <c r="C194" s="23" t="s">
        <v>105</v>
      </c>
      <c r="D194" s="23" t="s">
        <v>86</v>
      </c>
      <c r="E194" s="23" t="n">
        <v>1456.94</v>
      </c>
      <c r="F194" s="23" t="n">
        <v>14</v>
      </c>
      <c r="G194" s="23" t="n">
        <v>0.05</v>
      </c>
      <c r="H194" s="24" t="n">
        <v>45745</v>
      </c>
      <c r="I194" s="23" t="n">
        <v>692.05</v>
      </c>
      <c r="J194" s="25" t="n">
        <f aca="true">NOW()</f>
        <v>46304.4705747777</v>
      </c>
      <c r="K194" s="26" t="n">
        <f aca="false">DATE(YEAR(H194),MONTH(H194),1)</f>
        <v>45717</v>
      </c>
      <c r="L194" s="27" t="n">
        <f aca="false">E194/(1-G194)</f>
        <v>1533.62105263158</v>
      </c>
      <c r="M194" s="27" t="n">
        <f aca="false">E194-I194</f>
        <v>764.89</v>
      </c>
      <c r="N194" s="28" t="n">
        <f aca="false">I194/E194</f>
        <v>0.475002402295221</v>
      </c>
    </row>
    <row r="195" customFormat="false" ht="15" hidden="false" customHeight="false" outlineLevel="0" collapsed="false">
      <c r="A195" s="23" t="s">
        <v>115</v>
      </c>
      <c r="B195" s="23" t="s">
        <v>133</v>
      </c>
      <c r="C195" s="23" t="s">
        <v>89</v>
      </c>
      <c r="D195" s="23" t="s">
        <v>98</v>
      </c>
      <c r="E195" s="23" t="n">
        <v>1093.38</v>
      </c>
      <c r="F195" s="23" t="n">
        <v>17</v>
      </c>
      <c r="G195" s="23" t="n">
        <v>0.1</v>
      </c>
      <c r="H195" s="24" t="n">
        <v>45745</v>
      </c>
      <c r="I195" s="23" t="n">
        <v>344.41</v>
      </c>
      <c r="J195" s="25" t="n">
        <f aca="true">NOW()</f>
        <v>46304.4705747777</v>
      </c>
      <c r="K195" s="26" t="n">
        <f aca="false">DATE(YEAR(H195),MONTH(H195),1)</f>
        <v>45717</v>
      </c>
      <c r="L195" s="27" t="n">
        <f aca="false">E195/(1-G195)</f>
        <v>1214.86666666667</v>
      </c>
      <c r="M195" s="27" t="n">
        <f aca="false">E195-I195</f>
        <v>748.97</v>
      </c>
      <c r="N195" s="28" t="n">
        <f aca="false">I195/E195</f>
        <v>0.314995701402989</v>
      </c>
    </row>
    <row r="196" customFormat="false" ht="15" hidden="false" customHeight="false" outlineLevel="0" collapsed="false">
      <c r="A196" s="23" t="s">
        <v>108</v>
      </c>
      <c r="B196" s="23" t="s">
        <v>136</v>
      </c>
      <c r="C196" s="23" t="s">
        <v>82</v>
      </c>
      <c r="D196" s="23" t="s">
        <v>86</v>
      </c>
      <c r="E196" s="23" t="n">
        <v>934.27</v>
      </c>
      <c r="F196" s="23" t="n">
        <v>8</v>
      </c>
      <c r="G196" s="23" t="n">
        <v>0.15</v>
      </c>
      <c r="H196" s="24" t="n">
        <v>45746</v>
      </c>
      <c r="I196" s="23" t="n">
        <v>397.06</v>
      </c>
      <c r="J196" s="25" t="n">
        <f aca="true">NOW()</f>
        <v>46304.4705747777</v>
      </c>
      <c r="K196" s="26" t="n">
        <f aca="false">DATE(YEAR(H196),MONTH(H196),1)</f>
        <v>45717</v>
      </c>
      <c r="L196" s="27" t="n">
        <f aca="false">E196/(1-G196)</f>
        <v>1099.14117647059</v>
      </c>
      <c r="M196" s="27" t="n">
        <f aca="false">E196-I196</f>
        <v>537.21</v>
      </c>
      <c r="N196" s="28" t="n">
        <f aca="false">I196/E196</f>
        <v>0.424994915816627</v>
      </c>
    </row>
    <row r="197" customFormat="false" ht="15" hidden="false" customHeight="false" outlineLevel="0" collapsed="false">
      <c r="A197" s="23" t="s">
        <v>142</v>
      </c>
      <c r="B197" s="23" t="s">
        <v>107</v>
      </c>
      <c r="C197" s="23" t="s">
        <v>105</v>
      </c>
      <c r="D197" s="23" t="s">
        <v>86</v>
      </c>
      <c r="E197" s="23" t="n">
        <v>1465.35</v>
      </c>
      <c r="F197" s="23" t="n">
        <v>8</v>
      </c>
      <c r="G197" s="23" t="n">
        <v>0.2</v>
      </c>
      <c r="H197" s="24" t="n">
        <v>45746</v>
      </c>
      <c r="I197" s="23" t="n">
        <v>586.14</v>
      </c>
      <c r="J197" s="25" t="n">
        <f aca="true">NOW()</f>
        <v>46304.4705747777</v>
      </c>
      <c r="K197" s="26" t="n">
        <f aca="false">DATE(YEAR(H197),MONTH(H197),1)</f>
        <v>45717</v>
      </c>
      <c r="L197" s="27" t="n">
        <f aca="false">E197/(1-G197)</f>
        <v>1831.6875</v>
      </c>
      <c r="M197" s="27" t="n">
        <f aca="false">E197-I197</f>
        <v>879.21</v>
      </c>
      <c r="N197" s="28" t="n">
        <f aca="false">I197/E197</f>
        <v>0.4</v>
      </c>
    </row>
    <row r="198" customFormat="false" ht="15" hidden="false" customHeight="false" outlineLevel="0" collapsed="false">
      <c r="A198" s="23" t="s">
        <v>123</v>
      </c>
      <c r="B198" s="23" t="s">
        <v>85</v>
      </c>
      <c r="C198" s="23" t="s">
        <v>91</v>
      </c>
      <c r="D198" s="23" t="s">
        <v>110</v>
      </c>
      <c r="E198" s="23" t="n">
        <v>740.8</v>
      </c>
      <c r="F198" s="23" t="n">
        <v>3</v>
      </c>
      <c r="G198" s="23" t="n">
        <v>0</v>
      </c>
      <c r="H198" s="24" t="n">
        <v>45749</v>
      </c>
      <c r="I198" s="23" t="n">
        <v>333.36</v>
      </c>
      <c r="J198" s="25" t="n">
        <f aca="true">NOW()</f>
        <v>46304.4705747777</v>
      </c>
      <c r="K198" s="26" t="n">
        <f aca="false">DATE(YEAR(H198),MONTH(H198),1)</f>
        <v>45748</v>
      </c>
      <c r="L198" s="27" t="n">
        <f aca="false">E198/(1-G198)</f>
        <v>740.8</v>
      </c>
      <c r="M198" s="27" t="n">
        <f aca="false">E198-I198</f>
        <v>407.44</v>
      </c>
      <c r="N198" s="28" t="n">
        <f aca="false">I198/E198</f>
        <v>0.45</v>
      </c>
    </row>
    <row r="199" customFormat="false" ht="15" hidden="false" customHeight="false" outlineLevel="0" collapsed="false">
      <c r="A199" s="23" t="s">
        <v>129</v>
      </c>
      <c r="B199" s="23" t="s">
        <v>114</v>
      </c>
      <c r="C199" s="23" t="s">
        <v>82</v>
      </c>
      <c r="D199" s="23" t="s">
        <v>110</v>
      </c>
      <c r="E199" s="23" t="n">
        <v>545.44</v>
      </c>
      <c r="F199" s="23" t="n">
        <v>17</v>
      </c>
      <c r="G199" s="23" t="n">
        <v>0</v>
      </c>
      <c r="H199" s="24" t="n">
        <v>45752</v>
      </c>
      <c r="I199" s="23" t="n">
        <v>245.45</v>
      </c>
      <c r="J199" s="25" t="n">
        <f aca="true">NOW()</f>
        <v>46304.4705747777</v>
      </c>
      <c r="K199" s="26" t="n">
        <f aca="false">DATE(YEAR(H199),MONTH(H199),1)</f>
        <v>45748</v>
      </c>
      <c r="L199" s="27" t="n">
        <f aca="false">E199/(1-G199)</f>
        <v>545.44</v>
      </c>
      <c r="M199" s="27" t="n">
        <f aca="false">E199-I199</f>
        <v>299.99</v>
      </c>
      <c r="N199" s="28" t="n">
        <f aca="false">I199/E199</f>
        <v>0.450003666764447</v>
      </c>
    </row>
    <row r="200" customFormat="false" ht="15" hidden="false" customHeight="false" outlineLevel="0" collapsed="false">
      <c r="A200" s="23" t="s">
        <v>106</v>
      </c>
      <c r="B200" s="23" t="s">
        <v>107</v>
      </c>
      <c r="C200" s="23" t="s">
        <v>89</v>
      </c>
      <c r="D200" s="23" t="s">
        <v>83</v>
      </c>
      <c r="E200" s="23" t="n">
        <v>997.61</v>
      </c>
      <c r="F200" s="23" t="n">
        <v>8</v>
      </c>
      <c r="G200" s="23" t="n">
        <v>0.05</v>
      </c>
      <c r="H200" s="24" t="n">
        <v>45752</v>
      </c>
      <c r="I200" s="23" t="n">
        <v>379.09</v>
      </c>
      <c r="J200" s="25" t="n">
        <f aca="true">NOW()</f>
        <v>46304.4705747777</v>
      </c>
      <c r="K200" s="26" t="n">
        <f aca="false">DATE(YEAR(H200),MONTH(H200),1)</f>
        <v>45748</v>
      </c>
      <c r="L200" s="27" t="n">
        <f aca="false">E200/(1-G200)</f>
        <v>1050.11578947368</v>
      </c>
      <c r="M200" s="27" t="n">
        <f aca="false">E200-I200</f>
        <v>618.52</v>
      </c>
      <c r="N200" s="28" t="n">
        <f aca="false">I200/E200</f>
        <v>0.379998195687694</v>
      </c>
    </row>
    <row r="201" customFormat="false" ht="15" hidden="false" customHeight="false" outlineLevel="0" collapsed="false">
      <c r="A201" s="23" t="s">
        <v>132</v>
      </c>
      <c r="B201" s="23" t="s">
        <v>107</v>
      </c>
      <c r="C201" s="23" t="s">
        <v>91</v>
      </c>
      <c r="D201" s="23" t="s">
        <v>86</v>
      </c>
      <c r="E201" s="23" t="n">
        <v>928.32</v>
      </c>
      <c r="F201" s="23" t="n">
        <v>2</v>
      </c>
      <c r="G201" s="23" t="n">
        <v>0.05</v>
      </c>
      <c r="H201" s="24" t="n">
        <v>45754</v>
      </c>
      <c r="I201" s="23" t="n">
        <v>440.95</v>
      </c>
      <c r="J201" s="25" t="n">
        <f aca="true">NOW()</f>
        <v>46304.4705747777</v>
      </c>
      <c r="K201" s="26" t="n">
        <f aca="false">DATE(YEAR(H201),MONTH(H201),1)</f>
        <v>45748</v>
      </c>
      <c r="L201" s="27" t="n">
        <f aca="false">E201/(1-G201)</f>
        <v>977.178947368421</v>
      </c>
      <c r="M201" s="27" t="n">
        <f aca="false">E201-I201</f>
        <v>487.37</v>
      </c>
      <c r="N201" s="28" t="n">
        <f aca="false">I201/E201</f>
        <v>0.474997845570493</v>
      </c>
    </row>
  </sheetData>
  <autoFilter ref="A1:N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4" min="3" style="0" width="14"/>
    <col collapsed="false" customWidth="true" hidden="false" outlineLevel="0" max="5" min="5" style="0" width="13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29" t="s">
        <v>148</v>
      </c>
    </row>
    <row r="2" customFormat="false" ht="15" hidden="false" customHeight="false" outlineLevel="0" collapsed="false">
      <c r="A2" s="21" t="s">
        <v>149</v>
      </c>
    </row>
    <row r="3" customFormat="false" ht="15" hidden="false" customHeight="false" outlineLevel="0" collapsed="false">
      <c r="A3" s="22" t="s">
        <v>66</v>
      </c>
      <c r="B3" s="22" t="s">
        <v>150</v>
      </c>
      <c r="C3" s="22" t="s">
        <v>151</v>
      </c>
      <c r="D3" s="22" t="s">
        <v>152</v>
      </c>
      <c r="E3" s="22" t="s">
        <v>153</v>
      </c>
      <c r="F3" s="22" t="s">
        <v>154</v>
      </c>
      <c r="G3" s="22" t="s">
        <v>155</v>
      </c>
      <c r="H3" s="22" t="s">
        <v>156</v>
      </c>
    </row>
    <row r="4" customFormat="false" ht="15" hidden="false" customHeight="false" outlineLevel="0" collapsed="false">
      <c r="A4" s="23" t="s">
        <v>129</v>
      </c>
      <c r="B4" s="23" t="n">
        <f aca="false">COUNTIF(Dataset!$A$2:$A$201,A4)</f>
        <v>11</v>
      </c>
      <c r="C4" s="27" t="n">
        <f aca="false">SUMIFS(Dataset!$E$2:$E$201,Dataset!$A$2:$A$201,A4)</f>
        <v>11611.06</v>
      </c>
      <c r="D4" s="27" t="n">
        <f aca="false">SUMIFS(Dataset!$I$2:$I$201,Dataset!$A$2:$A$201,A4)</f>
        <v>4201.59</v>
      </c>
      <c r="E4" s="28" t="n">
        <f aca="false">AVERAGEIFS(Dataset!$G$2:$G$201,Dataset!$A$2:$A$201,A4)</f>
        <v>0.104545454545455</v>
      </c>
      <c r="F4" s="23" t="n">
        <f aca="false">RANK(C4,$C$4:$C$33)</f>
        <v>1</v>
      </c>
      <c r="G4" s="23" t="str">
        <f aca="false">IF(F4&lt;=10,"★ Top 10","")</f>
        <v>★ Top 10</v>
      </c>
      <c r="H4" s="23" t="str">
        <f aca="false">IF(C4&gt;='High Value Customers'!$B$3,"High-Value","Standard")</f>
        <v>High-Value</v>
      </c>
    </row>
    <row r="5" customFormat="false" ht="15" hidden="false" customHeight="false" outlineLevel="0" collapsed="false">
      <c r="A5" s="23" t="s">
        <v>123</v>
      </c>
      <c r="B5" s="23" t="n">
        <f aca="false">COUNTIF(Dataset!$A$2:$A$201,A5)</f>
        <v>12</v>
      </c>
      <c r="C5" s="27" t="n">
        <f aca="false">SUMIFS(Dataset!$E$2:$E$201,Dataset!$A$2:$A$201,A5)</f>
        <v>10293.87</v>
      </c>
      <c r="D5" s="27" t="n">
        <f aca="false">SUMIFS(Dataset!$I$2:$I$201,Dataset!$A$2:$A$201,A5)</f>
        <v>3541.02</v>
      </c>
      <c r="E5" s="28" t="n">
        <f aca="false">AVERAGEIFS(Dataset!$G$2:$G$201,Dataset!$A$2:$A$201,A5)</f>
        <v>0.120833333333333</v>
      </c>
      <c r="F5" s="23" t="n">
        <f aca="false">RANK(C5,$C$4:$C$33)</f>
        <v>2</v>
      </c>
      <c r="G5" s="23" t="str">
        <f aca="false">IF(F5&lt;=10,"★ Top 10","")</f>
        <v>★ Top 10</v>
      </c>
      <c r="H5" s="23" t="str">
        <f aca="false">IF(C5&gt;='High Value Customers'!$B$3,"High-Value","Standard")</f>
        <v>High-Value</v>
      </c>
    </row>
    <row r="6" customFormat="false" ht="15" hidden="false" customHeight="false" outlineLevel="0" collapsed="false">
      <c r="A6" s="23" t="s">
        <v>96</v>
      </c>
      <c r="B6" s="23" t="n">
        <f aca="false">COUNTIF(Dataset!$A$2:$A$201,A6)</f>
        <v>10</v>
      </c>
      <c r="C6" s="27" t="n">
        <f aca="false">SUMIFS(Dataset!$E$2:$E$201,Dataset!$A$2:$A$201,A6)</f>
        <v>9941.88</v>
      </c>
      <c r="D6" s="27" t="n">
        <f aca="false">SUMIFS(Dataset!$I$2:$I$201,Dataset!$A$2:$A$201,A6)</f>
        <v>3936.26</v>
      </c>
      <c r="E6" s="28" t="n">
        <f aca="false">AVERAGEIFS(Dataset!$G$2:$G$201,Dataset!$A$2:$A$201,A6)</f>
        <v>0.04</v>
      </c>
      <c r="F6" s="23" t="n">
        <f aca="false">RANK(C6,$C$4:$C$33)</f>
        <v>3</v>
      </c>
      <c r="G6" s="23" t="str">
        <f aca="false">IF(F6&lt;=10,"★ Top 10","")</f>
        <v>★ Top 10</v>
      </c>
      <c r="H6" s="23" t="str">
        <f aca="false">IF(C6&gt;='High Value Customers'!$B$3,"High-Value","Standard")</f>
        <v>High-Value</v>
      </c>
    </row>
    <row r="7" customFormat="false" ht="15" hidden="false" customHeight="false" outlineLevel="0" collapsed="false">
      <c r="A7" s="23" t="s">
        <v>115</v>
      </c>
      <c r="B7" s="23" t="n">
        <f aca="false">COUNTIF(Dataset!$A$2:$A$201,A7)</f>
        <v>10</v>
      </c>
      <c r="C7" s="27" t="n">
        <f aca="false">SUMIFS(Dataset!$E$2:$E$201,Dataset!$A$2:$A$201,A7)</f>
        <v>9760.8</v>
      </c>
      <c r="D7" s="27" t="n">
        <f aca="false">SUMIFS(Dataset!$I$2:$I$201,Dataset!$A$2:$A$201,A7)</f>
        <v>3442.48</v>
      </c>
      <c r="E7" s="28" t="n">
        <f aca="false">AVERAGEIFS(Dataset!$G$2:$G$201,Dataset!$A$2:$A$201,A7)</f>
        <v>0.105</v>
      </c>
      <c r="F7" s="23" t="n">
        <f aca="false">RANK(C7,$C$4:$C$33)</f>
        <v>4</v>
      </c>
      <c r="G7" s="23" t="str">
        <f aca="false">IF(F7&lt;=10,"★ Top 10","")</f>
        <v>★ Top 10</v>
      </c>
      <c r="H7" s="23" t="str">
        <f aca="false">IF(C7&gt;='High Value Customers'!$B$3,"High-Value","Standard")</f>
        <v>High-Value</v>
      </c>
    </row>
    <row r="8" customFormat="false" ht="15" hidden="false" customHeight="false" outlineLevel="0" collapsed="false">
      <c r="A8" s="23" t="s">
        <v>101</v>
      </c>
      <c r="B8" s="23" t="n">
        <f aca="false">COUNTIF(Dataset!$A$2:$A$201,A8)</f>
        <v>9</v>
      </c>
      <c r="C8" s="27" t="n">
        <f aca="false">SUMIFS(Dataset!$E$2:$E$201,Dataset!$A$2:$A$201,A8)</f>
        <v>9371.81</v>
      </c>
      <c r="D8" s="27" t="n">
        <f aca="false">SUMIFS(Dataset!$I$2:$I$201,Dataset!$A$2:$A$201,A8)</f>
        <v>2922.02</v>
      </c>
      <c r="E8" s="28" t="n">
        <f aca="false">AVERAGEIFS(Dataset!$G$2:$G$201,Dataset!$A$2:$A$201,A8)</f>
        <v>0.0777777777777778</v>
      </c>
      <c r="F8" s="23" t="n">
        <f aca="false">RANK(C8,$C$4:$C$33)</f>
        <v>5</v>
      </c>
      <c r="G8" s="23" t="str">
        <f aca="false">IF(F8&lt;=10,"★ Top 10","")</f>
        <v>★ Top 10</v>
      </c>
      <c r="H8" s="23" t="str">
        <f aca="false">IF(C8&gt;='High Value Customers'!$B$3,"High-Value","Standard")</f>
        <v>High-Value</v>
      </c>
    </row>
    <row r="9" customFormat="false" ht="15" hidden="false" customHeight="false" outlineLevel="0" collapsed="false">
      <c r="A9" s="23" t="s">
        <v>128</v>
      </c>
      <c r="B9" s="23" t="n">
        <f aca="false">COUNTIF(Dataset!$A$2:$A$201,A9)</f>
        <v>8</v>
      </c>
      <c r="C9" s="27" t="n">
        <f aca="false">SUMIFS(Dataset!$E$2:$E$201,Dataset!$A$2:$A$201,A9)</f>
        <v>8740.18</v>
      </c>
      <c r="D9" s="27" t="n">
        <f aca="false">SUMIFS(Dataset!$I$2:$I$201,Dataset!$A$2:$A$201,A9)</f>
        <v>2848.62</v>
      </c>
      <c r="E9" s="28" t="n">
        <f aca="false">AVERAGEIFS(Dataset!$G$2:$G$201,Dataset!$A$2:$A$201,A9)</f>
        <v>0.1125</v>
      </c>
      <c r="F9" s="23" t="n">
        <f aca="false">RANK(C9,$C$4:$C$33)</f>
        <v>6</v>
      </c>
      <c r="G9" s="23" t="str">
        <f aca="false">IF(F9&lt;=10,"★ Top 10","")</f>
        <v>★ Top 10</v>
      </c>
      <c r="H9" s="23" t="str">
        <f aca="false">IF(C9&gt;='High Value Customers'!$B$3,"High-Value","Standard")</f>
        <v>High-Value</v>
      </c>
    </row>
    <row r="10" customFormat="false" ht="15" hidden="false" customHeight="false" outlineLevel="0" collapsed="false">
      <c r="A10" s="23" t="s">
        <v>139</v>
      </c>
      <c r="B10" s="23" t="n">
        <f aca="false">COUNTIF(Dataset!$A$2:$A$201,A10)</f>
        <v>9</v>
      </c>
      <c r="C10" s="27" t="n">
        <f aca="false">SUMIFS(Dataset!$E$2:$E$201,Dataset!$A$2:$A$201,A10)</f>
        <v>8490.18</v>
      </c>
      <c r="D10" s="27" t="n">
        <f aca="false">SUMIFS(Dataset!$I$2:$I$201,Dataset!$A$2:$A$201,A10)</f>
        <v>2652.75</v>
      </c>
      <c r="E10" s="28" t="n">
        <f aca="false">AVERAGEIFS(Dataset!$G$2:$G$201,Dataset!$A$2:$A$201,A10)</f>
        <v>0.122222222222222</v>
      </c>
      <c r="F10" s="23" t="n">
        <f aca="false">RANK(C10,$C$4:$C$33)</f>
        <v>7</v>
      </c>
      <c r="G10" s="23" t="str">
        <f aca="false">IF(F10&lt;=10,"★ Top 10","")</f>
        <v>★ Top 10</v>
      </c>
      <c r="H10" s="23" t="str">
        <f aca="false">IF(C10&gt;='High Value Customers'!$B$3,"High-Value","Standard")</f>
        <v>High-Value</v>
      </c>
    </row>
    <row r="11" customFormat="false" ht="15" hidden="false" customHeight="false" outlineLevel="0" collapsed="false">
      <c r="A11" s="23" t="s">
        <v>84</v>
      </c>
      <c r="B11" s="23" t="n">
        <f aca="false">COUNTIF(Dataset!$A$2:$A$201,A11)</f>
        <v>9</v>
      </c>
      <c r="C11" s="27" t="n">
        <f aca="false">SUMIFS(Dataset!$E$2:$E$201,Dataset!$A$2:$A$201,A11)</f>
        <v>8339</v>
      </c>
      <c r="D11" s="27" t="n">
        <f aca="false">SUMIFS(Dataset!$I$2:$I$201,Dataset!$A$2:$A$201,A11)</f>
        <v>2988.71</v>
      </c>
      <c r="E11" s="28" t="n">
        <f aca="false">AVERAGEIFS(Dataset!$G$2:$G$201,Dataset!$A$2:$A$201,A11)</f>
        <v>0.0944444444444445</v>
      </c>
      <c r="F11" s="23" t="n">
        <f aca="false">RANK(C11,$C$4:$C$33)</f>
        <v>8</v>
      </c>
      <c r="G11" s="23" t="str">
        <f aca="false">IF(F11&lt;=10,"★ Top 10","")</f>
        <v>★ Top 10</v>
      </c>
      <c r="H11" s="23" t="str">
        <f aca="false">IF(C11&gt;='High Value Customers'!$B$3,"High-Value","Standard")</f>
        <v>High-Value</v>
      </c>
    </row>
    <row r="12" customFormat="false" ht="15" hidden="false" customHeight="false" outlineLevel="0" collapsed="false">
      <c r="A12" s="23" t="s">
        <v>93</v>
      </c>
      <c r="B12" s="23" t="n">
        <f aca="false">COUNTIF(Dataset!$A$2:$A$201,A12)</f>
        <v>9</v>
      </c>
      <c r="C12" s="27" t="n">
        <f aca="false">SUMIFS(Dataset!$E$2:$E$201,Dataset!$A$2:$A$201,A12)</f>
        <v>7928.71</v>
      </c>
      <c r="D12" s="27" t="n">
        <f aca="false">SUMIFS(Dataset!$I$2:$I$201,Dataset!$A$2:$A$201,A12)</f>
        <v>2965.48</v>
      </c>
      <c r="E12" s="28" t="n">
        <f aca="false">AVERAGEIFS(Dataset!$G$2:$G$201,Dataset!$A$2:$A$201,A12)</f>
        <v>0.0888888888888889</v>
      </c>
      <c r="F12" s="23" t="n">
        <f aca="false">RANK(C12,$C$4:$C$33)</f>
        <v>9</v>
      </c>
      <c r="G12" s="23" t="str">
        <f aca="false">IF(F12&lt;=10,"★ Top 10","")</f>
        <v>★ Top 10</v>
      </c>
      <c r="H12" s="23" t="str">
        <f aca="false">IF(C12&gt;='High Value Customers'!$B$3,"High-Value","Standard")</f>
        <v>Standard</v>
      </c>
    </row>
    <row r="13" customFormat="false" ht="15" hidden="false" customHeight="false" outlineLevel="0" collapsed="false">
      <c r="A13" s="23" t="s">
        <v>144</v>
      </c>
      <c r="B13" s="23" t="n">
        <f aca="false">COUNTIF(Dataset!$A$2:$A$201,A13)</f>
        <v>7</v>
      </c>
      <c r="C13" s="27" t="n">
        <f aca="false">SUMIFS(Dataset!$E$2:$E$201,Dataset!$A$2:$A$201,A13)</f>
        <v>7813.59</v>
      </c>
      <c r="D13" s="27" t="n">
        <f aca="false">SUMIFS(Dataset!$I$2:$I$201,Dataset!$A$2:$A$201,A13)</f>
        <v>3211.82</v>
      </c>
      <c r="E13" s="28" t="n">
        <f aca="false">AVERAGEIFS(Dataset!$G$2:$G$201,Dataset!$A$2:$A$201,A13)</f>
        <v>0.0857142857142857</v>
      </c>
      <c r="F13" s="23" t="n">
        <f aca="false">RANK(C13,$C$4:$C$33)</f>
        <v>10</v>
      </c>
      <c r="G13" s="23" t="str">
        <f aca="false">IF(F13&lt;=10,"★ Top 10","")</f>
        <v>★ Top 10</v>
      </c>
      <c r="H13" s="23" t="str">
        <f aca="false">IF(C13&gt;='High Value Customers'!$B$3,"High-Value","Standard")</f>
        <v>Standard</v>
      </c>
    </row>
    <row r="14" customFormat="false" ht="15" hidden="false" customHeight="false" outlineLevel="0" collapsed="false">
      <c r="A14" s="23" t="s">
        <v>142</v>
      </c>
      <c r="B14" s="23" t="n">
        <f aca="false">COUNTIF(Dataset!$A$2:$A$201,A14)</f>
        <v>7</v>
      </c>
      <c r="C14" s="27" t="n">
        <f aca="false">SUMIFS(Dataset!$E$2:$E$201,Dataset!$A$2:$A$201,A14)</f>
        <v>7583.13</v>
      </c>
      <c r="D14" s="27" t="n">
        <f aca="false">SUMIFS(Dataset!$I$2:$I$201,Dataset!$A$2:$A$201,A14)</f>
        <v>2492.1</v>
      </c>
      <c r="E14" s="28" t="n">
        <f aca="false">AVERAGEIFS(Dataset!$G$2:$G$201,Dataset!$A$2:$A$201,A14)</f>
        <v>0.157142857142857</v>
      </c>
      <c r="F14" s="23" t="n">
        <f aca="false">RANK(C14,$C$4:$C$33)</f>
        <v>11</v>
      </c>
      <c r="G14" s="23" t="str">
        <f aca="false">IF(F14&lt;=10,"★ Top 10","")</f>
        <v/>
      </c>
      <c r="H14" s="23" t="str">
        <f aca="false">IF(C14&gt;='High Value Customers'!$B$3,"High-Value","Standard")</f>
        <v>Standard</v>
      </c>
    </row>
    <row r="15" customFormat="false" ht="15" hidden="false" customHeight="false" outlineLevel="0" collapsed="false">
      <c r="A15" s="23" t="s">
        <v>108</v>
      </c>
      <c r="B15" s="23" t="n">
        <f aca="false">COUNTIF(Dataset!$A$2:$A$201,A15)</f>
        <v>6</v>
      </c>
      <c r="C15" s="27" t="n">
        <f aca="false">SUMIFS(Dataset!$E$2:$E$201,Dataset!$A$2:$A$201,A15)</f>
        <v>6729.89</v>
      </c>
      <c r="D15" s="27" t="n">
        <f aca="false">SUMIFS(Dataset!$I$2:$I$201,Dataset!$A$2:$A$201,A15)</f>
        <v>2507.18</v>
      </c>
      <c r="E15" s="28" t="n">
        <f aca="false">AVERAGEIFS(Dataset!$G$2:$G$201,Dataset!$A$2:$A$201,A15)</f>
        <v>0.116666666666667</v>
      </c>
      <c r="F15" s="23" t="n">
        <f aca="false">RANK(C15,$C$4:$C$33)</f>
        <v>12</v>
      </c>
      <c r="G15" s="23" t="str">
        <f aca="false">IF(F15&lt;=10,"★ Top 10","")</f>
        <v/>
      </c>
      <c r="H15" s="23" t="str">
        <f aca="false">IF(C15&gt;='High Value Customers'!$B$3,"High-Value","Standard")</f>
        <v>Standard</v>
      </c>
    </row>
    <row r="16" customFormat="false" ht="15" hidden="false" customHeight="false" outlineLevel="0" collapsed="false">
      <c r="A16" s="23" t="s">
        <v>125</v>
      </c>
      <c r="B16" s="23" t="n">
        <f aca="false">COUNTIF(Dataset!$A$2:$A$201,A16)</f>
        <v>6</v>
      </c>
      <c r="C16" s="27" t="n">
        <f aca="false">SUMIFS(Dataset!$E$2:$E$201,Dataset!$A$2:$A$201,A16)</f>
        <v>6716.52</v>
      </c>
      <c r="D16" s="27" t="n">
        <f aca="false">SUMIFS(Dataset!$I$2:$I$201,Dataset!$A$2:$A$201,A16)</f>
        <v>2327.84</v>
      </c>
      <c r="E16" s="28" t="n">
        <f aca="false">AVERAGEIFS(Dataset!$G$2:$G$201,Dataset!$A$2:$A$201,A16)</f>
        <v>0.1</v>
      </c>
      <c r="F16" s="23" t="n">
        <f aca="false">RANK(C16,$C$4:$C$33)</f>
        <v>13</v>
      </c>
      <c r="G16" s="23" t="str">
        <f aca="false">IF(F16&lt;=10,"★ Top 10","")</f>
        <v/>
      </c>
      <c r="H16" s="23" t="str">
        <f aca="false">IF(C16&gt;='High Value Customers'!$B$3,"High-Value","Standard")</f>
        <v>Standard</v>
      </c>
    </row>
    <row r="17" customFormat="false" ht="15" hidden="false" customHeight="false" outlineLevel="0" collapsed="false">
      <c r="A17" s="23" t="s">
        <v>90</v>
      </c>
      <c r="B17" s="23" t="n">
        <f aca="false">COUNTIF(Dataset!$A$2:$A$201,A17)</f>
        <v>6</v>
      </c>
      <c r="C17" s="27" t="n">
        <f aca="false">SUMIFS(Dataset!$E$2:$E$201,Dataset!$A$2:$A$201,A17)</f>
        <v>6666.13</v>
      </c>
      <c r="D17" s="27" t="n">
        <f aca="false">SUMIFS(Dataset!$I$2:$I$201,Dataset!$A$2:$A$201,A17)</f>
        <v>1982.39</v>
      </c>
      <c r="E17" s="28" t="n">
        <f aca="false">AVERAGEIFS(Dataset!$G$2:$G$201,Dataset!$A$2:$A$201,A17)</f>
        <v>0.116666666666667</v>
      </c>
      <c r="F17" s="23" t="n">
        <f aca="false">RANK(C17,$C$4:$C$33)</f>
        <v>14</v>
      </c>
      <c r="G17" s="23" t="str">
        <f aca="false">IF(F17&lt;=10,"★ Top 10","")</f>
        <v/>
      </c>
      <c r="H17" s="23" t="str">
        <f aca="false">IF(C17&gt;='High Value Customers'!$B$3,"High-Value","Standard")</f>
        <v>Standard</v>
      </c>
    </row>
    <row r="18" customFormat="false" ht="15" hidden="false" customHeight="false" outlineLevel="0" collapsed="false">
      <c r="A18" s="23" t="s">
        <v>99</v>
      </c>
      <c r="B18" s="23" t="n">
        <f aca="false">COUNTIF(Dataset!$A$2:$A$201,A18)</f>
        <v>7</v>
      </c>
      <c r="C18" s="27" t="n">
        <f aca="false">SUMIFS(Dataset!$E$2:$E$201,Dataset!$A$2:$A$201,A18)</f>
        <v>6549.55</v>
      </c>
      <c r="D18" s="27" t="n">
        <f aca="false">SUMIFS(Dataset!$I$2:$I$201,Dataset!$A$2:$A$201,A18)</f>
        <v>1868.77</v>
      </c>
      <c r="E18" s="28" t="n">
        <f aca="false">AVERAGEIFS(Dataset!$G$2:$G$201,Dataset!$A$2:$A$201,A18)</f>
        <v>0.142857142857143</v>
      </c>
      <c r="F18" s="23" t="n">
        <f aca="false">RANK(C18,$C$4:$C$33)</f>
        <v>15</v>
      </c>
      <c r="G18" s="23" t="str">
        <f aca="false">IF(F18&lt;=10,"★ Top 10","")</f>
        <v/>
      </c>
      <c r="H18" s="23" t="str">
        <f aca="false">IF(C18&gt;='High Value Customers'!$B$3,"High-Value","Standard")</f>
        <v>Standard</v>
      </c>
    </row>
    <row r="19" customFormat="false" ht="15" hidden="false" customHeight="false" outlineLevel="0" collapsed="false">
      <c r="A19" s="23" t="s">
        <v>103</v>
      </c>
      <c r="B19" s="23" t="n">
        <f aca="false">COUNTIF(Dataset!$A$2:$A$201,A19)</f>
        <v>7</v>
      </c>
      <c r="C19" s="27" t="n">
        <f aca="false">SUMIFS(Dataset!$E$2:$E$201,Dataset!$A$2:$A$201,A19)</f>
        <v>6505.2</v>
      </c>
      <c r="D19" s="27" t="n">
        <f aca="false">SUMIFS(Dataset!$I$2:$I$201,Dataset!$A$2:$A$201,A19)</f>
        <v>2052.54</v>
      </c>
      <c r="E19" s="28" t="n">
        <f aca="false">AVERAGEIFS(Dataset!$G$2:$G$201,Dataset!$A$2:$A$201,A19)</f>
        <v>0.1</v>
      </c>
      <c r="F19" s="23" t="n">
        <f aca="false">RANK(C19,$C$4:$C$33)</f>
        <v>16</v>
      </c>
      <c r="G19" s="23" t="str">
        <f aca="false">IF(F19&lt;=10,"★ Top 10","")</f>
        <v/>
      </c>
      <c r="H19" s="23" t="str">
        <f aca="false">IF(C19&gt;='High Value Customers'!$B$3,"High-Value","Standard")</f>
        <v>Standard</v>
      </c>
    </row>
    <row r="20" customFormat="false" ht="15" hidden="false" customHeight="false" outlineLevel="0" collapsed="false">
      <c r="A20" s="23" t="s">
        <v>137</v>
      </c>
      <c r="B20" s="23" t="n">
        <f aca="false">COUNTIF(Dataset!$A$2:$A$201,A20)</f>
        <v>6</v>
      </c>
      <c r="C20" s="27" t="n">
        <f aca="false">SUMIFS(Dataset!$E$2:$E$201,Dataset!$A$2:$A$201,A20)</f>
        <v>6481.43</v>
      </c>
      <c r="D20" s="27" t="n">
        <f aca="false">SUMIFS(Dataset!$I$2:$I$201,Dataset!$A$2:$A$201,A20)</f>
        <v>2210.74</v>
      </c>
      <c r="E20" s="28" t="n">
        <f aca="false">AVERAGEIFS(Dataset!$G$2:$G$201,Dataset!$A$2:$A$201,A20)</f>
        <v>0.0833333333333333</v>
      </c>
      <c r="F20" s="23" t="n">
        <f aca="false">RANK(C20,$C$4:$C$33)</f>
        <v>17</v>
      </c>
      <c r="G20" s="23" t="str">
        <f aca="false">IF(F20&lt;=10,"★ Top 10","")</f>
        <v/>
      </c>
      <c r="H20" s="23" t="str">
        <f aca="false">IF(C20&gt;='High Value Customers'!$B$3,"High-Value","Standard")</f>
        <v>Standard</v>
      </c>
    </row>
    <row r="21" customFormat="false" ht="15" hidden="false" customHeight="false" outlineLevel="0" collapsed="false">
      <c r="A21" s="23" t="s">
        <v>111</v>
      </c>
      <c r="B21" s="23" t="n">
        <f aca="false">COUNTIF(Dataset!$A$2:$A$201,A21)</f>
        <v>7</v>
      </c>
      <c r="C21" s="27" t="n">
        <f aca="false">SUMIFS(Dataset!$E$2:$E$201,Dataset!$A$2:$A$201,A21)</f>
        <v>5913.68</v>
      </c>
      <c r="D21" s="27" t="n">
        <f aca="false">SUMIFS(Dataset!$I$2:$I$201,Dataset!$A$2:$A$201,A21)</f>
        <v>2198.62</v>
      </c>
      <c r="E21" s="28" t="n">
        <f aca="false">AVERAGEIFS(Dataset!$G$2:$G$201,Dataset!$A$2:$A$201,A21)</f>
        <v>0.0785714285714286</v>
      </c>
      <c r="F21" s="23" t="n">
        <f aca="false">RANK(C21,$C$4:$C$33)</f>
        <v>18</v>
      </c>
      <c r="G21" s="23" t="str">
        <f aca="false">IF(F21&lt;=10,"★ Top 10","")</f>
        <v/>
      </c>
      <c r="H21" s="23" t="str">
        <f aca="false">IF(C21&gt;='High Value Customers'!$B$3,"High-Value","Standard")</f>
        <v>Standard</v>
      </c>
    </row>
    <row r="22" customFormat="false" ht="15" hidden="false" customHeight="false" outlineLevel="0" collapsed="false">
      <c r="A22" s="23" t="s">
        <v>112</v>
      </c>
      <c r="B22" s="23" t="n">
        <f aca="false">COUNTIF(Dataset!$A$2:$A$201,A22)</f>
        <v>7</v>
      </c>
      <c r="C22" s="27" t="n">
        <f aca="false">SUMIFS(Dataset!$E$2:$E$201,Dataset!$A$2:$A$201,A22)</f>
        <v>5779.05</v>
      </c>
      <c r="D22" s="27" t="n">
        <f aca="false">SUMIFS(Dataset!$I$2:$I$201,Dataset!$A$2:$A$201,A22)</f>
        <v>1611.66</v>
      </c>
      <c r="E22" s="28" t="n">
        <f aca="false">AVERAGEIFS(Dataset!$G$2:$G$201,Dataset!$A$2:$A$201,A22)</f>
        <v>0.135714285714286</v>
      </c>
      <c r="F22" s="23" t="n">
        <f aca="false">RANK(C22,$C$4:$C$33)</f>
        <v>19</v>
      </c>
      <c r="G22" s="23" t="str">
        <f aca="false">IF(F22&lt;=10,"★ Top 10","")</f>
        <v/>
      </c>
      <c r="H22" s="23" t="str">
        <f aca="false">IF(C22&gt;='High Value Customers'!$B$3,"High-Value","Standard")</f>
        <v>Standard</v>
      </c>
    </row>
    <row r="23" customFormat="false" ht="15" hidden="false" customHeight="false" outlineLevel="0" collapsed="false">
      <c r="A23" s="23" t="s">
        <v>147</v>
      </c>
      <c r="B23" s="23" t="n">
        <f aca="false">COUNTIF(Dataset!$A$2:$A$201,A23)</f>
        <v>5</v>
      </c>
      <c r="C23" s="27" t="n">
        <f aca="false">SUMIFS(Dataset!$E$2:$E$201,Dataset!$A$2:$A$201,A23)</f>
        <v>4951.89</v>
      </c>
      <c r="D23" s="27" t="n">
        <f aca="false">SUMIFS(Dataset!$I$2:$I$201,Dataset!$A$2:$A$201,A23)</f>
        <v>1821.64</v>
      </c>
      <c r="E23" s="28" t="n">
        <f aca="false">AVERAGEIFS(Dataset!$G$2:$G$201,Dataset!$A$2:$A$201,A23)</f>
        <v>0.12</v>
      </c>
      <c r="F23" s="23" t="n">
        <f aca="false">RANK(C23,$C$4:$C$33)</f>
        <v>20</v>
      </c>
      <c r="G23" s="23" t="str">
        <f aca="false">IF(F23&lt;=10,"★ Top 10","")</f>
        <v/>
      </c>
      <c r="H23" s="23" t="str">
        <f aca="false">IF(C23&gt;='High Value Customers'!$B$3,"High-Value","Standard")</f>
        <v>Standard</v>
      </c>
    </row>
    <row r="24" customFormat="false" ht="15" hidden="false" customHeight="false" outlineLevel="0" collapsed="false">
      <c r="A24" s="23" t="s">
        <v>80</v>
      </c>
      <c r="B24" s="23" t="n">
        <f aca="false">COUNTIF(Dataset!$A$2:$A$201,A24)</f>
        <v>5</v>
      </c>
      <c r="C24" s="27" t="n">
        <f aca="false">SUMIFS(Dataset!$E$2:$E$201,Dataset!$A$2:$A$201,A24)</f>
        <v>4640.11</v>
      </c>
      <c r="D24" s="27" t="n">
        <f aca="false">SUMIFS(Dataset!$I$2:$I$201,Dataset!$A$2:$A$201,A24)</f>
        <v>1721.12</v>
      </c>
      <c r="E24" s="28" t="n">
        <f aca="false">AVERAGEIFS(Dataset!$G$2:$G$201,Dataset!$A$2:$A$201,A24)</f>
        <v>0.08</v>
      </c>
      <c r="F24" s="23" t="n">
        <f aca="false">RANK(C24,$C$4:$C$33)</f>
        <v>21</v>
      </c>
      <c r="G24" s="23" t="str">
        <f aca="false">IF(F24&lt;=10,"★ Top 10","")</f>
        <v/>
      </c>
      <c r="H24" s="23" t="str">
        <f aca="false">IF(C24&gt;='High Value Customers'!$B$3,"High-Value","Standard")</f>
        <v>Standard</v>
      </c>
    </row>
    <row r="25" customFormat="false" ht="15" hidden="false" customHeight="false" outlineLevel="0" collapsed="false">
      <c r="A25" s="23" t="s">
        <v>120</v>
      </c>
      <c r="B25" s="23" t="n">
        <f aca="false">COUNTIF(Dataset!$A$2:$A$201,A25)</f>
        <v>5</v>
      </c>
      <c r="C25" s="27" t="n">
        <f aca="false">SUMIFS(Dataset!$E$2:$E$201,Dataset!$A$2:$A$201,A25)</f>
        <v>4418.28</v>
      </c>
      <c r="D25" s="27" t="n">
        <f aca="false">SUMIFS(Dataset!$I$2:$I$201,Dataset!$A$2:$A$201,A25)</f>
        <v>1605.23</v>
      </c>
      <c r="E25" s="28" t="n">
        <f aca="false">AVERAGEIFS(Dataset!$G$2:$G$201,Dataset!$A$2:$A$201,A25)</f>
        <v>0.08</v>
      </c>
      <c r="F25" s="23" t="n">
        <f aca="false">RANK(C25,$C$4:$C$33)</f>
        <v>22</v>
      </c>
      <c r="G25" s="23" t="str">
        <f aca="false">IF(F25&lt;=10,"★ Top 10","")</f>
        <v/>
      </c>
      <c r="H25" s="23" t="str">
        <f aca="false">IF(C25&gt;='High Value Customers'!$B$3,"High-Value","Standard")</f>
        <v>Standard</v>
      </c>
    </row>
    <row r="26" customFormat="false" ht="15" hidden="false" customHeight="false" outlineLevel="0" collapsed="false">
      <c r="A26" s="23" t="s">
        <v>140</v>
      </c>
      <c r="B26" s="23" t="n">
        <f aca="false">COUNTIF(Dataset!$A$2:$A$201,A26)</f>
        <v>4</v>
      </c>
      <c r="C26" s="27" t="n">
        <f aca="false">SUMIFS(Dataset!$E$2:$E$201,Dataset!$A$2:$A$201,A26)</f>
        <v>4413.71</v>
      </c>
      <c r="D26" s="27" t="n">
        <f aca="false">SUMIFS(Dataset!$I$2:$I$201,Dataset!$A$2:$A$201,A26)</f>
        <v>1664.79</v>
      </c>
      <c r="E26" s="28" t="n">
        <f aca="false">AVERAGEIFS(Dataset!$G$2:$G$201,Dataset!$A$2:$A$201,A26)</f>
        <v>0.0125</v>
      </c>
      <c r="F26" s="23" t="n">
        <f aca="false">RANK(C26,$C$4:$C$33)</f>
        <v>23</v>
      </c>
      <c r="G26" s="23" t="str">
        <f aca="false">IF(F26&lt;=10,"★ Top 10","")</f>
        <v/>
      </c>
      <c r="H26" s="23" t="str">
        <f aca="false">IF(C26&gt;='High Value Customers'!$B$3,"High-Value","Standard")</f>
        <v>Standard</v>
      </c>
    </row>
    <row r="27" customFormat="false" ht="15" hidden="false" customHeight="false" outlineLevel="0" collapsed="false">
      <c r="A27" s="23" t="s">
        <v>106</v>
      </c>
      <c r="B27" s="23" t="n">
        <f aca="false">COUNTIF(Dataset!$A$2:$A$201,A27)</f>
        <v>5</v>
      </c>
      <c r="C27" s="27" t="n">
        <f aca="false">SUMIFS(Dataset!$E$2:$E$201,Dataset!$A$2:$A$201,A27)</f>
        <v>4259.22</v>
      </c>
      <c r="D27" s="27" t="n">
        <f aca="false">SUMIFS(Dataset!$I$2:$I$201,Dataset!$A$2:$A$201,A27)</f>
        <v>1529.32</v>
      </c>
      <c r="E27" s="28" t="n">
        <f aca="false">AVERAGEIFS(Dataset!$G$2:$G$201,Dataset!$A$2:$A$201,A27)</f>
        <v>0.03</v>
      </c>
      <c r="F27" s="23" t="n">
        <f aca="false">RANK(C27,$C$4:$C$33)</f>
        <v>24</v>
      </c>
      <c r="G27" s="23" t="str">
        <f aca="false">IF(F27&lt;=10,"★ Top 10","")</f>
        <v/>
      </c>
      <c r="H27" s="23" t="str">
        <f aca="false">IF(C27&gt;='High Value Customers'!$B$3,"High-Value","Standard")</f>
        <v>Standard</v>
      </c>
    </row>
    <row r="28" customFormat="false" ht="15" hidden="false" customHeight="false" outlineLevel="0" collapsed="false">
      <c r="A28" s="23" t="s">
        <v>145</v>
      </c>
      <c r="B28" s="23" t="n">
        <f aca="false">COUNTIF(Dataset!$A$2:$A$201,A28)</f>
        <v>4</v>
      </c>
      <c r="C28" s="27" t="n">
        <f aca="false">SUMIFS(Dataset!$E$2:$E$201,Dataset!$A$2:$A$201,A28)</f>
        <v>4162.44</v>
      </c>
      <c r="D28" s="27" t="n">
        <f aca="false">SUMIFS(Dataset!$I$2:$I$201,Dataset!$A$2:$A$201,A28)</f>
        <v>1605.11</v>
      </c>
      <c r="E28" s="28" t="n">
        <f aca="false">AVERAGEIFS(Dataset!$G$2:$G$201,Dataset!$A$2:$A$201,A28)</f>
        <v>0.0875</v>
      </c>
      <c r="F28" s="23" t="n">
        <f aca="false">RANK(C28,$C$4:$C$33)</f>
        <v>25</v>
      </c>
      <c r="G28" s="23" t="str">
        <f aca="false">IF(F28&lt;=10,"★ Top 10","")</f>
        <v/>
      </c>
      <c r="H28" s="23" t="str">
        <f aca="false">IF(C28&gt;='High Value Customers'!$B$3,"High-Value","Standard")</f>
        <v>Standard</v>
      </c>
    </row>
    <row r="29" customFormat="false" ht="15" hidden="false" customHeight="false" outlineLevel="0" collapsed="false">
      <c r="A29" s="23" t="s">
        <v>146</v>
      </c>
      <c r="B29" s="23" t="n">
        <f aca="false">COUNTIF(Dataset!$A$2:$A$201,A29)</f>
        <v>5</v>
      </c>
      <c r="C29" s="27" t="n">
        <f aca="false">SUMIFS(Dataset!$E$2:$E$201,Dataset!$A$2:$A$201,A29)</f>
        <v>3906.04</v>
      </c>
      <c r="D29" s="27" t="n">
        <f aca="false">SUMIFS(Dataset!$I$2:$I$201,Dataset!$A$2:$A$201,A29)</f>
        <v>1240.65</v>
      </c>
      <c r="E29" s="28" t="n">
        <f aca="false">AVERAGEIFS(Dataset!$G$2:$G$201,Dataset!$A$2:$A$201,A29)</f>
        <v>0.1</v>
      </c>
      <c r="F29" s="23" t="n">
        <f aca="false">RANK(C29,$C$4:$C$33)</f>
        <v>26</v>
      </c>
      <c r="G29" s="23" t="str">
        <f aca="false">IF(F29&lt;=10,"★ Top 10","")</f>
        <v/>
      </c>
      <c r="H29" s="23" t="str">
        <f aca="false">IF(C29&gt;='High Value Customers'!$B$3,"High-Value","Standard")</f>
        <v>Standard</v>
      </c>
    </row>
    <row r="30" customFormat="false" ht="15" hidden="false" customHeight="false" outlineLevel="0" collapsed="false">
      <c r="A30" s="23" t="s">
        <v>135</v>
      </c>
      <c r="B30" s="23" t="n">
        <f aca="false">COUNTIF(Dataset!$A$2:$A$201,A30)</f>
        <v>4</v>
      </c>
      <c r="C30" s="27" t="n">
        <f aca="false">SUMIFS(Dataset!$E$2:$E$201,Dataset!$A$2:$A$201,A30)</f>
        <v>3762.29</v>
      </c>
      <c r="D30" s="27" t="n">
        <f aca="false">SUMIFS(Dataset!$I$2:$I$201,Dataset!$A$2:$A$201,A30)</f>
        <v>1545.04</v>
      </c>
      <c r="E30" s="28" t="n">
        <f aca="false">AVERAGEIFS(Dataset!$G$2:$G$201,Dataset!$A$2:$A$201,A30)</f>
        <v>0.05</v>
      </c>
      <c r="F30" s="23" t="n">
        <f aca="false">RANK(C30,$C$4:$C$33)</f>
        <v>27</v>
      </c>
      <c r="G30" s="23" t="str">
        <f aca="false">IF(F30&lt;=10,"★ Top 10","")</f>
        <v/>
      </c>
      <c r="H30" s="23" t="str">
        <f aca="false">IF(C30&gt;='High Value Customers'!$B$3,"High-Value","Standard")</f>
        <v>Standard</v>
      </c>
    </row>
    <row r="31" customFormat="false" ht="15" hidden="false" customHeight="false" outlineLevel="0" collapsed="false">
      <c r="A31" s="23" t="s">
        <v>87</v>
      </c>
      <c r="B31" s="23" t="n">
        <f aca="false">COUNTIF(Dataset!$A$2:$A$201,A31)</f>
        <v>4</v>
      </c>
      <c r="C31" s="27" t="n">
        <f aca="false">SUMIFS(Dataset!$E$2:$E$201,Dataset!$A$2:$A$201,A31)</f>
        <v>3419.2</v>
      </c>
      <c r="D31" s="27" t="n">
        <f aca="false">SUMIFS(Dataset!$I$2:$I$201,Dataset!$A$2:$A$201,A31)</f>
        <v>1257.21</v>
      </c>
      <c r="E31" s="28" t="n">
        <f aca="false">AVERAGEIFS(Dataset!$G$2:$G$201,Dataset!$A$2:$A$201,A31)</f>
        <v>0.075</v>
      </c>
      <c r="F31" s="23" t="n">
        <f aca="false">RANK(C31,$C$4:$C$33)</f>
        <v>28</v>
      </c>
      <c r="G31" s="23" t="str">
        <f aca="false">IF(F31&lt;=10,"★ Top 10","")</f>
        <v/>
      </c>
      <c r="H31" s="23" t="str">
        <f aca="false">IF(C31&gt;='High Value Customers'!$B$3,"High-Value","Standard")</f>
        <v>Standard</v>
      </c>
    </row>
    <row r="32" customFormat="false" ht="15" hidden="false" customHeight="false" outlineLevel="0" collapsed="false">
      <c r="A32" s="23" t="s">
        <v>132</v>
      </c>
      <c r="B32" s="23" t="n">
        <f aca="false">COUNTIF(Dataset!$A$2:$A$201,A32)</f>
        <v>4</v>
      </c>
      <c r="C32" s="27" t="n">
        <f aca="false">SUMIFS(Dataset!$E$2:$E$201,Dataset!$A$2:$A$201,A32)</f>
        <v>3369.17</v>
      </c>
      <c r="D32" s="27" t="n">
        <f aca="false">SUMIFS(Dataset!$I$2:$I$201,Dataset!$A$2:$A$201,A32)</f>
        <v>1497.25</v>
      </c>
      <c r="E32" s="28" t="n">
        <f aca="false">AVERAGEIFS(Dataset!$G$2:$G$201,Dataset!$A$2:$A$201,A32)</f>
        <v>0.0875</v>
      </c>
      <c r="F32" s="23" t="n">
        <f aca="false">RANK(C32,$C$4:$C$33)</f>
        <v>29</v>
      </c>
      <c r="G32" s="23" t="str">
        <f aca="false">IF(F32&lt;=10,"★ Top 10","")</f>
        <v/>
      </c>
      <c r="H32" s="23" t="str">
        <f aca="false">IF(C32&gt;='High Value Customers'!$B$3,"High-Value","Standard")</f>
        <v>Standard</v>
      </c>
    </row>
    <row r="33" customFormat="false" ht="15" hidden="false" customHeight="false" outlineLevel="0" collapsed="false">
      <c r="A33" s="23" t="s">
        <v>117</v>
      </c>
      <c r="B33" s="23" t="n">
        <f aca="false">COUNTIF(Dataset!$A$2:$A$201,A33)</f>
        <v>2</v>
      </c>
      <c r="C33" s="27" t="n">
        <f aca="false">SUMIFS(Dataset!$E$2:$E$201,Dataset!$A$2:$A$201,A33)</f>
        <v>2699.75</v>
      </c>
      <c r="D33" s="27" t="n">
        <f aca="false">SUMIFS(Dataset!$I$2:$I$201,Dataset!$A$2:$A$201,A33)</f>
        <v>837.06</v>
      </c>
      <c r="E33" s="28" t="n">
        <f aca="false">AVERAGEIFS(Dataset!$G$2:$G$201,Dataset!$A$2:$A$201,A33)</f>
        <v>0.175</v>
      </c>
      <c r="F33" s="23" t="n">
        <f aca="false">RANK(C33,$C$4:$C$33)</f>
        <v>30</v>
      </c>
      <c r="G33" s="23" t="str">
        <f aca="false">IF(F33&lt;=10,"★ Top 10","")</f>
        <v/>
      </c>
      <c r="H33" s="23" t="str">
        <f aca="false">IF(C33&gt;='High Value Customers'!$B$3,"High-Value","Standard")</f>
        <v>Standard</v>
      </c>
    </row>
    <row r="34" customFormat="false" ht="15" hidden="false" customHeight="false" outlineLevel="0" collapsed="false">
      <c r="A34" s="30" t="s">
        <v>157</v>
      </c>
      <c r="B34" s="30" t="n">
        <f aca="false">SUM(B4:B33)</f>
        <v>200</v>
      </c>
      <c r="C34" s="31" t="n">
        <f aca="false">SUM(C4:C33)</f>
        <v>195217.76</v>
      </c>
      <c r="D34" s="31" t="n">
        <f aca="false">SUM(D4:D33)</f>
        <v>68287.01</v>
      </c>
    </row>
  </sheetData>
  <conditionalFormatting sqref="A4:H33">
    <cfRule type="expression" priority="2" aboveAverage="0" equalAverage="0" bottom="0" percent="0" rank="0" text="" dxfId="4">
      <formula>$F4&lt;=10</formula>
    </cfRule>
  </conditionalFormatting>
  <conditionalFormatting sqref="C4:C33">
    <cfRule type="dataBar" priority="3">
      <dataBar showValue="1" minLength="10" maxLength="90">
        <cfvo type="min" val="0"/>
        <cfvo type="max" val="0"/>
        <color rgb="FF5B9BD5"/>
      </dataBar>
      <extLst>
        <ext xmlns:x14="http://schemas.microsoft.com/office/spreadsheetml/2009/9/main" uri="{B025F937-C7B1-47D3-B67F-A62EFF666E3E}">
          <x14:id>{C0272836-6BBA-4C4E-81EF-7A40A61DF4B0}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272836-6BBA-4C4E-81EF-7A40A61DF4B0}">
            <x14:dataBar minLength="10" maxLength="90" axisPosition="none" gradient="true">
              <x14:cfvo type="min"/>
              <x14:cfvo type="max"/>
              <x14:negativeFillColor rgb="FF5B9BD5"/>
              <x14:axisColor rgb="FF000000"/>
            </x14:dataBar>
          </x14:cfRule>
          <xm:sqref>C4:C33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3"/>
  </cols>
  <sheetData>
    <row r="1" customFormat="false" ht="17.35" hidden="false" customHeight="false" outlineLevel="0" collapsed="false">
      <c r="A1" s="29" t="s">
        <v>158</v>
      </c>
    </row>
    <row r="3" customFormat="false" ht="15" hidden="false" customHeight="false" outlineLevel="0" collapsed="false">
      <c r="A3" s="30" t="s">
        <v>159</v>
      </c>
      <c r="B3" s="27" t="n">
        <f aca="false">PERCENTILE('Customer Analysis'!C4:C33,0.75)</f>
        <v>8236.4275</v>
      </c>
    </row>
    <row r="4" customFormat="false" ht="15" hidden="false" customHeight="false" outlineLevel="0" collapsed="false">
      <c r="A4" s="30" t="s">
        <v>160</v>
      </c>
      <c r="B4" s="23" t="n">
        <f aca="false">COUNTIF('Customer Analysis'!C4:C33,"&gt;="&amp;B3)</f>
        <v>8</v>
      </c>
    </row>
    <row r="6" customFormat="false" ht="23.85" hidden="false" customHeight="false" outlineLevel="0" collapsed="false">
      <c r="A6" s="22" t="s">
        <v>154</v>
      </c>
      <c r="B6" s="22" t="s">
        <v>161</v>
      </c>
      <c r="C6" s="22" t="s">
        <v>162</v>
      </c>
      <c r="D6" s="22" t="s">
        <v>150</v>
      </c>
      <c r="E6" s="22" t="s">
        <v>152</v>
      </c>
      <c r="F6" s="22" t="s">
        <v>163</v>
      </c>
    </row>
    <row r="7" customFormat="false" ht="15" hidden="false" customHeight="false" outlineLevel="0" collapsed="false">
      <c r="A7" s="23" t="n">
        <v>1</v>
      </c>
      <c r="B7" s="27" t="n">
        <f aca="false">LARGE('Customer Analysis'!$C$4:$C$33,A7)</f>
        <v>11611.06</v>
      </c>
      <c r="C7" s="23" t="str">
        <f aca="false">INDEX('Customer Analysis'!$A$4:$A$33,MATCH(B7,'Customer Analysis'!$C$4:$C$33,0))</f>
        <v>CUST015</v>
      </c>
      <c r="D7" s="23" t="n">
        <f aca="false">INDEX('Customer Analysis'!$B$4:$B$33,MATCH(C7,'Customer Analysis'!$A$4:$A$33,0))</f>
        <v>11</v>
      </c>
      <c r="E7" s="27" t="n">
        <f aca="false">INDEX('Customer Analysis'!$D$4:$D$33,MATCH(C7,'Customer Analysis'!$A$4:$A$33,0))</f>
        <v>4201.59</v>
      </c>
      <c r="F7" s="23" t="str">
        <f aca="false">IF(B7&gt;=$B$3,"High-Value","Standard")</f>
        <v>High-Value</v>
      </c>
    </row>
    <row r="8" customFormat="false" ht="15" hidden="false" customHeight="false" outlineLevel="0" collapsed="false">
      <c r="A8" s="23" t="n">
        <v>2</v>
      </c>
      <c r="B8" s="27" t="n">
        <f aca="false">LARGE('Customer Analysis'!$C$4:$C$33,A8)</f>
        <v>10293.87</v>
      </c>
      <c r="C8" s="23" t="str">
        <f aca="false">INDEX('Customer Analysis'!$A$4:$A$33,MATCH(B8,'Customer Analysis'!$C$4:$C$33,0))</f>
        <v>CUST028</v>
      </c>
      <c r="D8" s="23" t="n">
        <f aca="false">INDEX('Customer Analysis'!$B$4:$B$33,MATCH(C8,'Customer Analysis'!$A$4:$A$33,0))</f>
        <v>12</v>
      </c>
      <c r="E8" s="27" t="n">
        <f aca="false">INDEX('Customer Analysis'!$D$4:$D$33,MATCH(C8,'Customer Analysis'!$A$4:$A$33,0))</f>
        <v>3541.02</v>
      </c>
      <c r="F8" s="23" t="str">
        <f aca="false">IF(B8&gt;=$B$3,"High-Value","Standard")</f>
        <v>High-Value</v>
      </c>
    </row>
    <row r="9" customFormat="false" ht="15" hidden="false" customHeight="false" outlineLevel="0" collapsed="false">
      <c r="A9" s="23" t="n">
        <v>3</v>
      </c>
      <c r="B9" s="27" t="n">
        <f aca="false">LARGE('Customer Analysis'!$C$4:$C$33,A9)</f>
        <v>9941.88</v>
      </c>
      <c r="C9" s="23" t="str">
        <f aca="false">INDEX('Customer Analysis'!$A$4:$A$33,MATCH(B9,'Customer Analysis'!$C$4:$C$33,0))</f>
        <v>CUST007</v>
      </c>
      <c r="D9" s="23" t="n">
        <f aca="false">INDEX('Customer Analysis'!$B$4:$B$33,MATCH(C9,'Customer Analysis'!$A$4:$A$33,0))</f>
        <v>10</v>
      </c>
      <c r="E9" s="27" t="n">
        <f aca="false">INDEX('Customer Analysis'!$D$4:$D$33,MATCH(C9,'Customer Analysis'!$A$4:$A$33,0))</f>
        <v>3936.26</v>
      </c>
      <c r="F9" s="23" t="str">
        <f aca="false">IF(B9&gt;=$B$3,"High-Value","Standard")</f>
        <v>High-Value</v>
      </c>
    </row>
    <row r="10" customFormat="false" ht="15" hidden="false" customHeight="false" outlineLevel="0" collapsed="false">
      <c r="A10" s="23" t="n">
        <v>4</v>
      </c>
      <c r="B10" s="27" t="n">
        <f aca="false">LARGE('Customer Analysis'!$C$4:$C$33,A10)</f>
        <v>9760.8</v>
      </c>
      <c r="C10" s="23" t="str">
        <f aca="false">INDEX('Customer Analysis'!$A$4:$A$33,MATCH(B10,'Customer Analysis'!$C$4:$C$33,0))</f>
        <v>CUST008</v>
      </c>
      <c r="D10" s="23" t="n">
        <f aca="false">INDEX('Customer Analysis'!$B$4:$B$33,MATCH(C10,'Customer Analysis'!$A$4:$A$33,0))</f>
        <v>10</v>
      </c>
      <c r="E10" s="27" t="n">
        <f aca="false">INDEX('Customer Analysis'!$D$4:$D$33,MATCH(C10,'Customer Analysis'!$A$4:$A$33,0))</f>
        <v>3442.48</v>
      </c>
      <c r="F10" s="23" t="str">
        <f aca="false">IF(B10&gt;=$B$3,"High-Value","Standard")</f>
        <v>High-Value</v>
      </c>
    </row>
    <row r="11" customFormat="false" ht="15" hidden="false" customHeight="false" outlineLevel="0" collapsed="false">
      <c r="A11" s="23" t="n">
        <v>5</v>
      </c>
      <c r="B11" s="27" t="n">
        <f aca="false">LARGE('Customer Analysis'!$C$4:$C$33,A11)</f>
        <v>9371.81</v>
      </c>
      <c r="C11" s="23" t="str">
        <f aca="false">INDEX('Customer Analysis'!$A$4:$A$33,MATCH(B11,'Customer Analysis'!$C$4:$C$33,0))</f>
        <v>CUST026</v>
      </c>
      <c r="D11" s="23" t="n">
        <f aca="false">INDEX('Customer Analysis'!$B$4:$B$33,MATCH(C11,'Customer Analysis'!$A$4:$A$33,0))</f>
        <v>9</v>
      </c>
      <c r="E11" s="27" t="n">
        <f aca="false">INDEX('Customer Analysis'!$D$4:$D$33,MATCH(C11,'Customer Analysis'!$A$4:$A$33,0))</f>
        <v>2922.02</v>
      </c>
      <c r="F11" s="23" t="str">
        <f aca="false">IF(B11&gt;=$B$3,"High-Value","Standard")</f>
        <v>High-Value</v>
      </c>
    </row>
    <row r="12" customFormat="false" ht="15" hidden="false" customHeight="false" outlineLevel="0" collapsed="false">
      <c r="A12" s="23" t="n">
        <v>6</v>
      </c>
      <c r="B12" s="27" t="n">
        <f aca="false">LARGE('Customer Analysis'!$C$4:$C$33,A12)</f>
        <v>8740.18</v>
      </c>
      <c r="C12" s="23" t="str">
        <f aca="false">INDEX('Customer Analysis'!$A$4:$A$33,MATCH(B12,'Customer Analysis'!$C$4:$C$33,0))</f>
        <v>CUST021</v>
      </c>
      <c r="D12" s="23" t="n">
        <f aca="false">INDEX('Customer Analysis'!$B$4:$B$33,MATCH(C12,'Customer Analysis'!$A$4:$A$33,0))</f>
        <v>8</v>
      </c>
      <c r="E12" s="27" t="n">
        <f aca="false">INDEX('Customer Analysis'!$D$4:$D$33,MATCH(C12,'Customer Analysis'!$A$4:$A$33,0))</f>
        <v>2848.62</v>
      </c>
      <c r="F12" s="23" t="str">
        <f aca="false">IF(B12&gt;=$B$3,"High-Value","Standard")</f>
        <v>High-Value</v>
      </c>
    </row>
    <row r="13" customFormat="false" ht="15" hidden="false" customHeight="false" outlineLevel="0" collapsed="false">
      <c r="A13" s="23" t="n">
        <v>7</v>
      </c>
      <c r="B13" s="27" t="n">
        <f aca="false">LARGE('Customer Analysis'!$C$4:$C$33,A13)</f>
        <v>8490.18</v>
      </c>
      <c r="C13" s="23" t="str">
        <f aca="false">INDEX('Customer Analysis'!$A$4:$A$33,MATCH(B13,'Customer Analysis'!$C$4:$C$33,0))</f>
        <v>CUST003</v>
      </c>
      <c r="D13" s="23" t="n">
        <f aca="false">INDEX('Customer Analysis'!$B$4:$B$33,MATCH(C13,'Customer Analysis'!$A$4:$A$33,0))</f>
        <v>9</v>
      </c>
      <c r="E13" s="27" t="n">
        <f aca="false">INDEX('Customer Analysis'!$D$4:$D$33,MATCH(C13,'Customer Analysis'!$A$4:$A$33,0))</f>
        <v>2652.75</v>
      </c>
      <c r="F13" s="23" t="str">
        <f aca="false">IF(B13&gt;=$B$3,"High-Value","Standard")</f>
        <v>High-Value</v>
      </c>
    </row>
    <row r="14" customFormat="false" ht="15" hidden="false" customHeight="false" outlineLevel="0" collapsed="false">
      <c r="A14" s="23" t="n">
        <v>8</v>
      </c>
      <c r="B14" s="27" t="n">
        <f aca="false">LARGE('Customer Analysis'!$C$4:$C$33,A14)</f>
        <v>8339</v>
      </c>
      <c r="C14" s="23" t="str">
        <f aca="false">INDEX('Customer Analysis'!$A$4:$A$33,MATCH(B14,'Customer Analysis'!$C$4:$C$33,0))</f>
        <v>CUST012</v>
      </c>
      <c r="D14" s="23" t="n">
        <f aca="false">INDEX('Customer Analysis'!$B$4:$B$33,MATCH(C14,'Customer Analysis'!$A$4:$A$33,0))</f>
        <v>9</v>
      </c>
      <c r="E14" s="27" t="n">
        <f aca="false">INDEX('Customer Analysis'!$D$4:$D$33,MATCH(C14,'Customer Analysis'!$A$4:$A$33,0))</f>
        <v>2988.71</v>
      </c>
      <c r="F14" s="23" t="str">
        <f aca="false">IF(B14&gt;=$B$3,"High-Value","Standard")</f>
        <v>High-Value</v>
      </c>
    </row>
    <row r="15" customFormat="false" ht="15" hidden="false" customHeight="false" outlineLevel="0" collapsed="false">
      <c r="A15" s="23" t="n">
        <v>9</v>
      </c>
      <c r="B15" s="27" t="n">
        <f aca="false">LARGE('Customer Analysis'!$C$4:$C$33,A15)</f>
        <v>7928.71</v>
      </c>
      <c r="C15" s="23" t="str">
        <f aca="false">INDEX('Customer Analysis'!$A$4:$A$33,MATCH(B15,'Customer Analysis'!$C$4:$C$33,0))</f>
        <v>CUST030</v>
      </c>
      <c r="D15" s="23" t="n">
        <f aca="false">INDEX('Customer Analysis'!$B$4:$B$33,MATCH(C15,'Customer Analysis'!$A$4:$A$33,0))</f>
        <v>9</v>
      </c>
      <c r="E15" s="27" t="n">
        <f aca="false">INDEX('Customer Analysis'!$D$4:$D$33,MATCH(C15,'Customer Analysis'!$A$4:$A$33,0))</f>
        <v>2965.48</v>
      </c>
      <c r="F15" s="23" t="str">
        <f aca="false">IF(B15&gt;=$B$3,"High-Value","Standard")</f>
        <v>Standard</v>
      </c>
    </row>
    <row r="16" customFormat="false" ht="15" hidden="false" customHeight="false" outlineLevel="0" collapsed="false">
      <c r="A16" s="23" t="n">
        <v>10</v>
      </c>
      <c r="B16" s="27" t="n">
        <f aca="false">LARGE('Customer Analysis'!$C$4:$C$33,A16)</f>
        <v>7813.59</v>
      </c>
      <c r="C16" s="23" t="str">
        <f aca="false">INDEX('Customer Analysis'!$A$4:$A$33,MATCH(B16,'Customer Analysis'!$C$4:$C$33,0))</f>
        <v>CUST004</v>
      </c>
      <c r="D16" s="23" t="n">
        <f aca="false">INDEX('Customer Analysis'!$B$4:$B$33,MATCH(C16,'Customer Analysis'!$A$4:$A$33,0))</f>
        <v>7</v>
      </c>
      <c r="E16" s="27" t="n">
        <f aca="false">INDEX('Customer Analysis'!$D$4:$D$33,MATCH(C16,'Customer Analysis'!$A$4:$A$33,0))</f>
        <v>3211.82</v>
      </c>
      <c r="F16" s="23" t="str">
        <f aca="false">IF(B16&gt;=$B$3,"High-Value","Standard")</f>
        <v>Standard</v>
      </c>
    </row>
    <row r="19" customFormat="false" ht="15" hidden="false" customHeight="false" outlineLevel="0" collapsed="false">
      <c r="A19" s="19" t="s">
        <v>164</v>
      </c>
    </row>
    <row r="20" customFormat="false" ht="15" hidden="false" customHeight="false" outlineLevel="0" collapsed="false">
      <c r="A20" s="30" t="s">
        <v>165</v>
      </c>
      <c r="B20" s="32" t="s">
        <v>129</v>
      </c>
    </row>
    <row r="21" customFormat="false" ht="15" hidden="false" customHeight="false" outlineLevel="0" collapsed="false">
      <c r="A21" s="23" t="s">
        <v>150</v>
      </c>
      <c r="B21" s="23" t="n">
        <f aca="false">INDEX('Customer Analysis'!$B$4:$B$33,MATCH($B$20,'Customer Analysis'!$A$4:$A$33,0))</f>
        <v>11</v>
      </c>
    </row>
    <row r="22" customFormat="false" ht="15" hidden="false" customHeight="false" outlineLevel="0" collapsed="false">
      <c r="A22" s="23" t="s">
        <v>151</v>
      </c>
      <c r="B22" s="27" t="n">
        <f aca="false">INDEX('Customer Analysis'!$C$4:$C$33,MATCH($B$20,'Customer Analysis'!$A$4:$A$33,0))</f>
        <v>11611.06</v>
      </c>
    </row>
    <row r="23" customFormat="false" ht="15" hidden="false" customHeight="false" outlineLevel="0" collapsed="false">
      <c r="A23" s="23" t="s">
        <v>152</v>
      </c>
      <c r="B23" s="27" t="n">
        <f aca="false">INDEX('Customer Analysis'!$D$4:$D$33,MATCH($B$20,'Customer Analysis'!$A$4:$A$33,0))</f>
        <v>4201.59</v>
      </c>
    </row>
    <row r="24" customFormat="false" ht="15" hidden="false" customHeight="false" outlineLevel="0" collapsed="false">
      <c r="A24" s="23" t="s">
        <v>153</v>
      </c>
      <c r="B24" s="28" t="n">
        <f aca="false">INDEX('Customer Analysis'!$E$4:$E$33,MATCH($B$20,'Customer Analysis'!$A$4:$A$33,0))</f>
        <v>0.104545454545455</v>
      </c>
    </row>
    <row r="25" customFormat="false" ht="15" hidden="false" customHeight="false" outlineLevel="0" collapsed="false">
      <c r="A25" s="23" t="s">
        <v>154</v>
      </c>
      <c r="B25" s="23" t="n">
        <f aca="false">INDEX('Customer Analysis'!$F$4:$F$33,MATCH($B$20,'Customer Analysis'!$A$4:$A$33,0))</f>
        <v>1</v>
      </c>
    </row>
    <row r="26" customFormat="false" ht="15" hidden="false" customHeight="false" outlineLevel="0" collapsed="false">
      <c r="A26" s="23" t="s">
        <v>156</v>
      </c>
      <c r="B26" s="23" t="str">
        <f aca="false">INDEX('Customer Analysis'!$H$4:$H$33,MATCH($B$20,'Customer Analysis'!$A$4:$A$33,0))</f>
        <v>High-Value</v>
      </c>
    </row>
  </sheetData>
  <conditionalFormatting sqref="F7:F16">
    <cfRule type="expression" priority="2" aboveAverage="0" equalAverage="0" bottom="0" percent="0" rank="0" text="" dxfId="5">
      <formula>F7="High-Value"</formula>
    </cfRule>
  </conditionalFormatting>
  <dataValidations count="1">
    <dataValidation allowBlank="false" errorStyle="stop" operator="between" showDropDown="false" showErrorMessage="false" showInputMessage="false" sqref="B20" type="list">
      <formula1>'Customer Analysis'!$A$4:$A$33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29" t="s">
        <v>166</v>
      </c>
    </row>
    <row r="3" customFormat="false" ht="15" hidden="false" customHeight="false" outlineLevel="0" collapsed="false">
      <c r="A3" s="22" t="s">
        <v>167</v>
      </c>
      <c r="B3" s="22" t="s">
        <v>168</v>
      </c>
    </row>
    <row r="4" customFormat="false" ht="15" hidden="false" customHeight="false" outlineLevel="0" collapsed="false">
      <c r="A4" s="23" t="s">
        <v>169</v>
      </c>
      <c r="B4" s="27" t="n">
        <f aca="false">SUM(Dataset!$E$2:$E$201)</f>
        <v>195217.76</v>
      </c>
    </row>
    <row r="5" customFormat="false" ht="15" hidden="false" customHeight="false" outlineLevel="0" collapsed="false">
      <c r="A5" s="23" t="s">
        <v>170</v>
      </c>
      <c r="B5" s="27" t="n">
        <f aca="false">SUM(Dataset!$I$2:$I$201)</f>
        <v>68287.01</v>
      </c>
    </row>
    <row r="6" customFormat="false" ht="15" hidden="false" customHeight="false" outlineLevel="0" collapsed="false">
      <c r="A6" s="23" t="s">
        <v>171</v>
      </c>
      <c r="B6" s="28" t="n">
        <f aca="false">AVERAGE(Dataset!$G$2:$G$201)</f>
        <v>0.09725</v>
      </c>
    </row>
    <row r="7" customFormat="false" ht="15" hidden="false" customHeight="false" outlineLevel="0" collapsed="false">
      <c r="A7" s="23" t="s">
        <v>172</v>
      </c>
      <c r="B7" s="27" t="n">
        <f aca="false">SUM(Dataset!$L$2:$L$201)</f>
        <v>218027.193979188</v>
      </c>
    </row>
    <row r="8" customFormat="false" ht="15" hidden="false" customHeight="false" outlineLevel="0" collapsed="false">
      <c r="A8" s="23" t="s">
        <v>173</v>
      </c>
      <c r="B8" s="27" t="n">
        <f aca="false">SUM(Dataset!$M$2:$M$201)</f>
        <v>126930.75</v>
      </c>
    </row>
    <row r="10" customFormat="false" ht="15" hidden="false" customHeight="false" outlineLevel="0" collapsed="false">
      <c r="A10" s="19" t="s">
        <v>174</v>
      </c>
    </row>
    <row r="11" customFormat="false" ht="15" hidden="false" customHeight="false" outlineLevel="0" collapsed="false">
      <c r="A11" s="30" t="s">
        <v>175</v>
      </c>
      <c r="B11" s="33" t="n">
        <v>0.1</v>
      </c>
    </row>
    <row r="12" customFormat="false" ht="15" hidden="false" customHeight="false" outlineLevel="0" collapsed="false">
      <c r="A12" s="23" t="s">
        <v>176</v>
      </c>
      <c r="B12" s="27" t="n">
        <f aca="false">B7*(1-B11)</f>
        <v>196224.474581269</v>
      </c>
    </row>
    <row r="13" customFormat="false" ht="15" hidden="false" customHeight="false" outlineLevel="0" collapsed="false">
      <c r="A13" s="30" t="s">
        <v>177</v>
      </c>
      <c r="B13" s="31" t="n">
        <f aca="false">B12-B8</f>
        <v>69293.7245812694</v>
      </c>
    </row>
    <row r="14" customFormat="false" ht="15" hidden="false" customHeight="false" outlineLevel="0" collapsed="false">
      <c r="A14" s="23" t="s">
        <v>178</v>
      </c>
      <c r="B14" s="27" t="n">
        <f aca="false">B13-B5</f>
        <v>1006.71458126938</v>
      </c>
    </row>
    <row r="15" customFormat="false" ht="15" hidden="false" customHeight="false" outlineLevel="0" collapsed="false">
      <c r="A15" s="23" t="s">
        <v>179</v>
      </c>
      <c r="B15" s="28" t="n">
        <f aca="false">B14/B5</f>
        <v>0.0147424024169367</v>
      </c>
    </row>
    <row r="17" customFormat="false" ht="15" hidden="false" customHeight="false" outlineLevel="0" collapsed="false">
      <c r="A17" s="22" t="s">
        <v>180</v>
      </c>
      <c r="B17" s="22" t="s">
        <v>151</v>
      </c>
      <c r="C17" s="22" t="s">
        <v>152</v>
      </c>
      <c r="D17" s="22" t="s">
        <v>79</v>
      </c>
    </row>
    <row r="18" customFormat="false" ht="15" hidden="false" customHeight="false" outlineLevel="0" collapsed="false">
      <c r="A18" s="34" t="n">
        <v>0</v>
      </c>
      <c r="B18" s="27" t="n">
        <f aca="false">$B$7*(1-A18)</f>
        <v>218027.193979188</v>
      </c>
      <c r="C18" s="27" t="n">
        <f aca="false">B18-$B$8</f>
        <v>91096.4439791882</v>
      </c>
      <c r="D18" s="28" t="n">
        <f aca="false">C18/B18</f>
        <v>0.417821475920494</v>
      </c>
    </row>
    <row r="19" customFormat="false" ht="15" hidden="false" customHeight="false" outlineLevel="0" collapsed="false">
      <c r="A19" s="34" t="n">
        <v>0.05</v>
      </c>
      <c r="B19" s="27" t="n">
        <f aca="false">$B$7*(1-A19)</f>
        <v>207125.834280229</v>
      </c>
      <c r="C19" s="27" t="n">
        <f aca="false">B19-$B$8</f>
        <v>80195.0842802288</v>
      </c>
      <c r="D19" s="28" t="n">
        <f aca="false">C19/B19</f>
        <v>0.387180500968941</v>
      </c>
    </row>
    <row r="20" customFormat="false" ht="15" hidden="false" customHeight="false" outlineLevel="0" collapsed="false">
      <c r="A20" s="34" t="n">
        <v>0.1</v>
      </c>
      <c r="B20" s="27" t="n">
        <f aca="false">$B$7*(1-A20)</f>
        <v>196224.474581269</v>
      </c>
      <c r="C20" s="27" t="n">
        <f aca="false">B20-$B$8</f>
        <v>69293.7245812694</v>
      </c>
      <c r="D20" s="28" t="n">
        <f aca="false">C20/B20</f>
        <v>0.353134973244993</v>
      </c>
    </row>
    <row r="21" customFormat="false" ht="15" hidden="false" customHeight="false" outlineLevel="0" collapsed="false">
      <c r="A21" s="34" t="n">
        <v>0.15</v>
      </c>
      <c r="B21" s="27" t="n">
        <f aca="false">$B$7*(1-A21)</f>
        <v>185323.11488231</v>
      </c>
      <c r="C21" s="27" t="n">
        <f aca="false">B21-$B$8</f>
        <v>58392.36488231</v>
      </c>
      <c r="D21" s="28" t="n">
        <f aca="false">C21/B21</f>
        <v>0.315084089318228</v>
      </c>
    </row>
    <row r="22" customFormat="false" ht="15" hidden="false" customHeight="false" outlineLevel="0" collapsed="false">
      <c r="A22" s="34" t="n">
        <v>0.2</v>
      </c>
      <c r="B22" s="27" t="n">
        <f aca="false">$B$7*(1-A22)</f>
        <v>174421.755183351</v>
      </c>
      <c r="C22" s="27" t="n">
        <f aca="false">B22-$B$8</f>
        <v>47491.0051833506</v>
      </c>
      <c r="D22" s="28" t="n">
        <f aca="false">C22/B22</f>
        <v>0.272276844900617</v>
      </c>
    </row>
    <row r="23" customFormat="false" ht="15" hidden="false" customHeight="false" outlineLevel="0" collapsed="false">
      <c r="A23" s="34" t="n">
        <v>0.25</v>
      </c>
      <c r="B23" s="27" t="n">
        <f aca="false">$B$7*(1-A23)</f>
        <v>163520.395484391</v>
      </c>
      <c r="C23" s="27" t="n">
        <f aca="false">B23-$B$8</f>
        <v>36589.6454843911</v>
      </c>
      <c r="D23" s="28" t="n">
        <f aca="false">C23/B23</f>
        <v>0.223761967893992</v>
      </c>
    </row>
    <row r="24" customFormat="false" ht="15" hidden="false" customHeight="false" outlineLevel="0" collapsed="false">
      <c r="A24" s="34" t="n">
        <v>0.3</v>
      </c>
      <c r="B24" s="27" t="n">
        <f aca="false">$B$7*(1-A24)</f>
        <v>152619.035785432</v>
      </c>
      <c r="C24" s="27" t="n">
        <f aca="false">B24-$B$8</f>
        <v>25688.2857854317</v>
      </c>
      <c r="D24" s="28" t="n">
        <f aca="false">C24/B24</f>
        <v>0.168316394172134</v>
      </c>
    </row>
    <row r="27" customFormat="false" ht="15" hidden="false" customHeight="false" outlineLevel="0" collapsed="false">
      <c r="A27" s="19" t="s">
        <v>181</v>
      </c>
    </row>
    <row r="28" customFormat="false" ht="15" hidden="false" customHeight="false" outlineLevel="0" collapsed="false">
      <c r="A28" s="23" t="s">
        <v>182</v>
      </c>
      <c r="B28" s="35" t="n">
        <f aca="false">B5*1.1</f>
        <v>75115.711</v>
      </c>
    </row>
    <row r="29" customFormat="false" ht="15" hidden="false" customHeight="false" outlineLevel="0" collapsed="false">
      <c r="A29" s="23" t="s">
        <v>183</v>
      </c>
      <c r="B29" s="36" t="n">
        <f aca="false">1-(B28+B8)/B7</f>
        <v>0.0732969712975971</v>
      </c>
    </row>
    <row r="31" customFormat="false" ht="15" hidden="false" customHeight="false" outlineLevel="0" collapsed="false">
      <c r="A31" s="21" t="s">
        <v>184</v>
      </c>
    </row>
    <row r="32" customFormat="false" ht="15" hidden="false" customHeight="false" outlineLevel="0" collapsed="false">
      <c r="A32" s="21" t="s">
        <v>185</v>
      </c>
    </row>
    <row r="33" customFormat="false" ht="15" hidden="false" customHeight="false" outlineLevel="0" collapsed="false">
      <c r="A33" s="21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29" t="s">
        <v>187</v>
      </c>
    </row>
    <row r="3" customFormat="false" ht="15" hidden="false" customHeight="false" outlineLevel="0" collapsed="false">
      <c r="A3" s="19" t="s">
        <v>188</v>
      </c>
    </row>
    <row r="4" customFormat="false" ht="15" hidden="false" customHeight="false" outlineLevel="0" collapsed="false">
      <c r="A4" s="22" t="s">
        <v>189</v>
      </c>
      <c r="B4" s="22"/>
    </row>
    <row r="5" customFormat="false" ht="15" hidden="false" customHeight="false" outlineLevel="0" collapsed="false">
      <c r="A5" s="23" t="s">
        <v>190</v>
      </c>
      <c r="B5" s="37" t="n">
        <f aca="false">SQRT(B6)</f>
        <v>0.773403064143426</v>
      </c>
    </row>
    <row r="6" customFormat="false" ht="15" hidden="false" customHeight="false" outlineLevel="0" collapsed="false">
      <c r="A6" s="23" t="s">
        <v>191</v>
      </c>
      <c r="B6" s="37" t="n">
        <f aca="false">RSQ(Dataset!$I$2:$I$201,Dataset!$E$2:$E$201)</f>
        <v>0.598152299626441</v>
      </c>
    </row>
    <row r="7" customFormat="false" ht="15" hidden="false" customHeight="false" outlineLevel="0" collapsed="false">
      <c r="A7" s="23" t="s">
        <v>192</v>
      </c>
      <c r="B7" s="37" t="n">
        <f aca="false">1-(1-B6)*(B9-1)/(B9-2)</f>
        <v>0.59612276578617</v>
      </c>
    </row>
    <row r="8" customFormat="false" ht="15" hidden="false" customHeight="false" outlineLevel="0" collapsed="false">
      <c r="A8" s="23" t="s">
        <v>193</v>
      </c>
      <c r="B8" s="27" t="n">
        <f aca="false">STEYX(Dataset!$I$2:$I$201,Dataset!$E$2:$E$201)</f>
        <v>86.2812305296652</v>
      </c>
    </row>
    <row r="9" customFormat="false" ht="15" hidden="false" customHeight="false" outlineLevel="0" collapsed="false">
      <c r="A9" s="23" t="s">
        <v>194</v>
      </c>
      <c r="B9" s="38" t="n">
        <f aca="false">COUNT(Dataset!$E$2:$E$201)</f>
        <v>200</v>
      </c>
    </row>
    <row r="11" customFormat="false" ht="15" hidden="false" customHeight="false" outlineLevel="0" collapsed="false">
      <c r="A11" s="22" t="s">
        <v>195</v>
      </c>
      <c r="B11" s="22" t="s">
        <v>196</v>
      </c>
      <c r="C11" s="22" t="s">
        <v>197</v>
      </c>
      <c r="D11" s="22" t="s">
        <v>198</v>
      </c>
      <c r="E11" s="22" t="s">
        <v>199</v>
      </c>
      <c r="F11" s="22" t="s">
        <v>200</v>
      </c>
    </row>
    <row r="12" customFormat="false" ht="15" hidden="false" customHeight="false" outlineLevel="0" collapsed="false">
      <c r="A12" s="23" t="s">
        <v>23</v>
      </c>
      <c r="B12" s="23" t="n">
        <v>1</v>
      </c>
      <c r="C12" s="27" t="n">
        <f aca="false">B6*DEVSQ(Dataset!$I$2:$I$201)</f>
        <v>2194058.18334028</v>
      </c>
      <c r="D12" s="27" t="n">
        <f aca="false">C12/B12</f>
        <v>2194058.18334028</v>
      </c>
      <c r="E12" s="27" t="n">
        <f aca="false">D12/D13</f>
        <v>294.723984275481</v>
      </c>
      <c r="F12" s="39" t="n">
        <f aca="false">FDIST(E12,B12,B13)</f>
        <v>4.62693675589086E-041</v>
      </c>
    </row>
    <row r="13" customFormat="false" ht="15" hidden="false" customHeight="false" outlineLevel="0" collapsed="false">
      <c r="A13" s="23" t="s">
        <v>201</v>
      </c>
      <c r="B13" s="23" t="n">
        <f aca="false">B9-2</f>
        <v>198</v>
      </c>
      <c r="C13" s="27" t="n">
        <f aca="false">C14-C12</f>
        <v>1474001.24685922</v>
      </c>
      <c r="D13" s="27" t="n">
        <f aca="false">C13/B13</f>
        <v>7444.45074171322</v>
      </c>
    </row>
    <row r="14" customFormat="false" ht="15" hidden="false" customHeight="false" outlineLevel="0" collapsed="false">
      <c r="A14" s="23" t="s">
        <v>157</v>
      </c>
      <c r="B14" s="23" t="n">
        <f aca="false">B9-1</f>
        <v>199</v>
      </c>
      <c r="C14" s="27" t="n">
        <f aca="false">DEVSQ(Dataset!$I$2:$I$201)</f>
        <v>3668059.4301995</v>
      </c>
    </row>
    <row r="16" customFormat="false" ht="15" hidden="false" customHeight="false" outlineLevel="0" collapsed="false">
      <c r="A16" s="22"/>
      <c r="B16" s="22" t="s">
        <v>202</v>
      </c>
      <c r="C16" s="22" t="s">
        <v>193</v>
      </c>
      <c r="D16" s="22" t="s">
        <v>203</v>
      </c>
      <c r="E16" s="22" t="s">
        <v>204</v>
      </c>
      <c r="F16" s="22" t="s">
        <v>205</v>
      </c>
      <c r="G16" s="22" t="s">
        <v>206</v>
      </c>
    </row>
    <row r="17" customFormat="false" ht="15" hidden="false" customHeight="false" outlineLevel="0" collapsed="false">
      <c r="A17" s="23" t="s">
        <v>207</v>
      </c>
      <c r="B17" s="37" t="n">
        <f aca="false">INTERCEPT(Dataset!$I$2:$I$201,Dataset!$E$2:$E$201)</f>
        <v>-1.03155049019114</v>
      </c>
      <c r="C17" s="37" t="n">
        <f aca="false">B8*SQRT(1/B9+AVERAGE(Dataset!$E$2:$E$201)^2/DEVSQ(Dataset!$E$2:$E$201))</f>
        <v>20.8606170054455</v>
      </c>
      <c r="D17" s="40" t="n">
        <f aca="false">B17/C17</f>
        <v>-0.049449663445806</v>
      </c>
      <c r="E17" s="39" t="n">
        <f aca="false">TDIST(ABS(D17),$B$13,2)</f>
        <v>0.960610796968924</v>
      </c>
      <c r="F17" s="37" t="n">
        <f aca="false">B17-TINV(0.05,$B$13)*C17</f>
        <v>-42.1690518233792</v>
      </c>
      <c r="G17" s="37" t="n">
        <f aca="false">B17+TINV(0.05,$B$13)*C17</f>
        <v>40.1059508429969</v>
      </c>
    </row>
    <row r="18" customFormat="false" ht="15" hidden="false" customHeight="false" outlineLevel="0" collapsed="false">
      <c r="A18" s="23" t="s">
        <v>208</v>
      </c>
      <c r="B18" s="37" t="n">
        <f aca="false">SLOPE(Dataset!$I$2:$I$201,Dataset!$E$2:$E$201)</f>
        <v>0.350855988195122</v>
      </c>
      <c r="C18" s="37" t="n">
        <f aca="false">B8/SQRT(DEVSQ(Dataset!$E$2:$E$201))</f>
        <v>0.0204371886301356</v>
      </c>
      <c r="D18" s="40" t="n">
        <f aca="false">B18/C18</f>
        <v>17.167527028535</v>
      </c>
      <c r="E18" s="39" t="n">
        <f aca="false">TDIST(ABS(D18),$B$13,2)</f>
        <v>4.62693675589105E-041</v>
      </c>
      <c r="F18" s="37" t="n">
        <f aca="false">B18-TINV(0.05,$B$13)*C18</f>
        <v>0.310553495018657</v>
      </c>
      <c r="G18" s="37" t="n">
        <f aca="false">B18+TINV(0.05,$B$13)*C18</f>
        <v>0.391158481371587</v>
      </c>
    </row>
    <row r="21" customFormat="false" ht="15" hidden="false" customHeight="false" outlineLevel="0" collapsed="false">
      <c r="A21" s="30" t="s">
        <v>209</v>
      </c>
      <c r="B21" s="32" t="n">
        <v>1000</v>
      </c>
    </row>
    <row r="22" customFormat="false" ht="15" hidden="false" customHeight="false" outlineLevel="0" collapsed="false">
      <c r="A22" s="30" t="s">
        <v>210</v>
      </c>
      <c r="B22" s="31" t="n">
        <f aca="false">B17+B18*B21</f>
        <v>349.824437704931</v>
      </c>
    </row>
    <row r="24" customFormat="false" ht="30" hidden="false" customHeight="true" outlineLevel="0" collapsed="false">
      <c r="A24" s="41" t="str">
        <f aca="false">"Interpretation: each extra 1 unit of Sales adds about "&amp;TEXT(B18,"0.000")&amp;" units of Profit; Sales explains "&amp;TEXT(B6,"0.0%")&amp;" of the variation in Profit ("&amp;IF(E18&lt;0.05,"statistically significant","not significant")&amp;" at 5%)."</f>
        <v>Interpretation: each extra 1 unit of Sales adds about 0.351 units of Profit; Sales explains 59.8% of the variation in Profit (statistically significant at 5%).</v>
      </c>
      <c r="B24" s="41"/>
      <c r="C24" s="41"/>
      <c r="D24" s="41"/>
      <c r="E24" s="41"/>
      <c r="F24" s="41"/>
      <c r="G24" s="41"/>
    </row>
    <row r="25" customFormat="false" ht="15" hidden="false" customHeight="false" outlineLevel="0" collapsed="false">
      <c r="A25" s="41"/>
      <c r="B25" s="41"/>
      <c r="C25" s="41"/>
      <c r="D25" s="41"/>
      <c r="E25" s="41"/>
      <c r="F25" s="41"/>
      <c r="G25" s="41"/>
    </row>
    <row r="27" customFormat="false" ht="15" hidden="false" customHeight="false" outlineLevel="0" collapsed="false">
      <c r="A27" s="21" t="s">
        <v>211</v>
      </c>
    </row>
  </sheetData>
  <mergeCells count="1">
    <mergeCell ref="A24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29" t="s">
        <v>212</v>
      </c>
    </row>
    <row r="3" customFormat="false" ht="15" hidden="false" customHeight="false" outlineLevel="0" collapsed="false">
      <c r="A3" s="22" t="s">
        <v>213</v>
      </c>
      <c r="B3" s="22" t="s">
        <v>70</v>
      </c>
      <c r="C3" s="22" t="s">
        <v>71</v>
      </c>
      <c r="D3" s="22" t="s">
        <v>72</v>
      </c>
      <c r="E3" s="22" t="s">
        <v>74</v>
      </c>
    </row>
    <row r="4" customFormat="false" ht="15" hidden="false" customHeight="false" outlineLevel="0" collapsed="false">
      <c r="A4" s="23" t="s">
        <v>214</v>
      </c>
      <c r="B4" s="27" t="n">
        <f aca="false">AVERAGE(Dataset!$E$2:$E$201)</f>
        <v>976.0888</v>
      </c>
      <c r="C4" s="27" t="n">
        <f aca="false">AVERAGE(Dataset!$F$2:$F$201)</f>
        <v>9.995</v>
      </c>
      <c r="D4" s="27" t="n">
        <f aca="false">AVERAGE(Dataset!$G$2:$G$201)</f>
        <v>0.09725</v>
      </c>
      <c r="E4" s="27" t="n">
        <f aca="false">AVERAGE(Dataset!$I$2:$I$201)</f>
        <v>341.43505</v>
      </c>
    </row>
    <row r="5" customFormat="false" ht="15" hidden="false" customHeight="false" outlineLevel="0" collapsed="false">
      <c r="A5" s="23" t="s">
        <v>193</v>
      </c>
      <c r="B5" s="27" t="n">
        <f aca="false">STDEV(Dataset!$E$2:$E$201)/SQRT(COUNT(Dataset!$E$2:$E$201))</f>
        <v>21.1618504489783</v>
      </c>
      <c r="C5" s="27" t="n">
        <f aca="false">STDEV(Dataset!$F$2:$F$201)/SQRT(COUNT(Dataset!$F$2:$F$201))</f>
        <v>0.399276827432576</v>
      </c>
      <c r="D5" s="27" t="n">
        <f aca="false">STDEV(Dataset!$G$2:$G$201)/SQRT(COUNT(Dataset!$G$2:$G$201))</f>
        <v>0.00511424137327527</v>
      </c>
      <c r="E5" s="27" t="n">
        <f aca="false">STDEV(Dataset!$I$2:$I$201)/SQRT(COUNT(Dataset!$I$2:$I$201))</f>
        <v>9.60011964723323</v>
      </c>
    </row>
    <row r="6" customFormat="false" ht="15" hidden="false" customHeight="false" outlineLevel="0" collapsed="false">
      <c r="A6" s="23" t="s">
        <v>215</v>
      </c>
      <c r="B6" s="27" t="n">
        <f aca="false">MEDIAN(Dataset!$E$2:$E$201)</f>
        <v>976.72</v>
      </c>
      <c r="C6" s="27" t="n">
        <f aca="false">MEDIAN(Dataset!$F$2:$F$201)</f>
        <v>10</v>
      </c>
      <c r="D6" s="27" t="n">
        <f aca="false">MEDIAN(Dataset!$G$2:$G$201)</f>
        <v>0.1</v>
      </c>
      <c r="E6" s="27" t="n">
        <f aca="false">MEDIAN(Dataset!$I$2:$I$201)</f>
        <v>332.255</v>
      </c>
    </row>
    <row r="7" customFormat="false" ht="15" hidden="false" customHeight="false" outlineLevel="0" collapsed="false">
      <c r="A7" s="23" t="s">
        <v>216</v>
      </c>
      <c r="B7" s="27" t="str">
        <f aca="false">IFERROR(MODE(Dataset!$E$2:$E$201),"No mode")</f>
        <v>No mode</v>
      </c>
      <c r="C7" s="27" t="n">
        <f aca="false">IFERROR(MODE(Dataset!$F$2:$F$201),"No mode")</f>
        <v>8</v>
      </c>
      <c r="D7" s="27" t="n">
        <f aca="false">IFERROR(MODE(Dataset!$G$2:$G$201),"No mode")</f>
        <v>0</v>
      </c>
      <c r="E7" s="27" t="str">
        <f aca="false">IFERROR(MODE(Dataset!$I$2:$I$201),"No mode")</f>
        <v>No mode</v>
      </c>
    </row>
    <row r="8" customFormat="false" ht="15" hidden="false" customHeight="false" outlineLevel="0" collapsed="false">
      <c r="A8" s="23" t="s">
        <v>217</v>
      </c>
      <c r="B8" s="27" t="n">
        <f aca="false">STDEV(Dataset!$E$2:$E$201)</f>
        <v>299.273759098563</v>
      </c>
      <c r="C8" s="27" t="n">
        <f aca="false">STDEV(Dataset!$F$2:$F$201)</f>
        <v>5.64662704496451</v>
      </c>
      <c r="D8" s="27" t="n">
        <f aca="false">STDEV(Dataset!$G$2:$G$201)</f>
        <v>0.072326295113355</v>
      </c>
      <c r="E8" s="27" t="n">
        <f aca="false">STDEV(Dataset!$I$2:$I$201)</f>
        <v>135.766194055216</v>
      </c>
    </row>
    <row r="9" customFormat="false" ht="15" hidden="false" customHeight="false" outlineLevel="0" collapsed="false">
      <c r="A9" s="23" t="s">
        <v>218</v>
      </c>
      <c r="B9" s="27" t="n">
        <f aca="false">VAR(Dataset!$E$2:$E$201)</f>
        <v>89564.7828849849</v>
      </c>
      <c r="C9" s="27" t="n">
        <f aca="false">VAR(Dataset!$F$2:$F$201)</f>
        <v>31.8843969849246</v>
      </c>
      <c r="D9" s="27" t="n">
        <f aca="false">VAR(Dataset!$G$2:$G$201)</f>
        <v>0.00523109296482411</v>
      </c>
      <c r="E9" s="27" t="n">
        <f aca="false">VAR(Dataset!$I$2:$I$201)</f>
        <v>18432.4594482387</v>
      </c>
    </row>
    <row r="10" customFormat="false" ht="15" hidden="false" customHeight="false" outlineLevel="0" collapsed="false">
      <c r="A10" s="23" t="s">
        <v>219</v>
      </c>
      <c r="B10" s="27" t="n">
        <f aca="false">KURT(Dataset!$E$2:$E$201)</f>
        <v>-0.0885952319197454</v>
      </c>
      <c r="C10" s="27" t="n">
        <f aca="false">KURT(Dataset!$F$2:$F$201)</f>
        <v>-1.20910538266207</v>
      </c>
      <c r="D10" s="27" t="n">
        <f aca="false">KURT(Dataset!$G$2:$G$201)</f>
        <v>-1.32570124158558</v>
      </c>
      <c r="E10" s="27" t="n">
        <f aca="false">KURT(Dataset!$I$2:$I$201)</f>
        <v>0.264506438135828</v>
      </c>
    </row>
    <row r="11" customFormat="false" ht="15" hidden="false" customHeight="false" outlineLevel="0" collapsed="false">
      <c r="A11" s="23" t="s">
        <v>220</v>
      </c>
      <c r="B11" s="27" t="n">
        <f aca="false">SKEW(Dataset!$E$2:$E$201)</f>
        <v>0.146857965641932</v>
      </c>
      <c r="C11" s="27" t="n">
        <f aca="false">SKEW(Dataset!$F$2:$F$201)</f>
        <v>0.0608458643207785</v>
      </c>
      <c r="D11" s="27" t="n">
        <f aca="false">SKEW(Dataset!$G$2:$G$201)</f>
        <v>0.0968273855766847</v>
      </c>
      <c r="E11" s="27" t="n">
        <f aca="false">SKEW(Dataset!$I$2:$I$201)</f>
        <v>0.573396360634248</v>
      </c>
    </row>
    <row r="12" customFormat="false" ht="15" hidden="false" customHeight="false" outlineLevel="0" collapsed="false">
      <c r="A12" s="23" t="s">
        <v>221</v>
      </c>
      <c r="B12" s="27" t="n">
        <f aca="false">MAX(Dataset!$E$2:$E$201)-MIN(Dataset!$E$2:$E$201)</f>
        <v>1665.15</v>
      </c>
      <c r="C12" s="27" t="n">
        <f aca="false">MAX(Dataset!$F$2:$F$201)-MIN(Dataset!$F$2:$F$201)</f>
        <v>18</v>
      </c>
      <c r="D12" s="27" t="n">
        <f aca="false">MAX(Dataset!$G$2:$G$201)-MIN(Dataset!$G$2:$G$201)</f>
        <v>0.2</v>
      </c>
      <c r="E12" s="27" t="n">
        <f aca="false">MAX(Dataset!$I$2:$I$201)-MIN(Dataset!$I$2:$I$201)</f>
        <v>704.83</v>
      </c>
    </row>
    <row r="13" customFormat="false" ht="15" hidden="false" customHeight="false" outlineLevel="0" collapsed="false">
      <c r="A13" s="23" t="s">
        <v>222</v>
      </c>
      <c r="B13" s="27" t="n">
        <f aca="false">MIN(Dataset!$E$2:$E$201)</f>
        <v>258.51</v>
      </c>
      <c r="C13" s="27" t="n">
        <f aca="false">MIN(Dataset!$F$2:$F$201)</f>
        <v>1</v>
      </c>
      <c r="D13" s="27" t="n">
        <f aca="false">MIN(Dataset!$G$2:$G$201)</f>
        <v>0</v>
      </c>
      <c r="E13" s="27" t="n">
        <f aca="false">MIN(Dataset!$I$2:$I$201)</f>
        <v>64.63</v>
      </c>
    </row>
    <row r="14" customFormat="false" ht="15" hidden="false" customHeight="false" outlineLevel="0" collapsed="false">
      <c r="A14" s="23" t="s">
        <v>223</v>
      </c>
      <c r="B14" s="27" t="n">
        <f aca="false">MAX(Dataset!$E$2:$E$201)</f>
        <v>1923.66</v>
      </c>
      <c r="C14" s="27" t="n">
        <f aca="false">MAX(Dataset!$F$2:$F$201)</f>
        <v>19</v>
      </c>
      <c r="D14" s="27" t="n">
        <f aca="false">MAX(Dataset!$G$2:$G$201)</f>
        <v>0.2</v>
      </c>
      <c r="E14" s="27" t="n">
        <f aca="false">MAX(Dataset!$I$2:$I$201)</f>
        <v>769.46</v>
      </c>
    </row>
    <row r="15" customFormat="false" ht="15" hidden="false" customHeight="false" outlineLevel="0" collapsed="false">
      <c r="A15" s="23" t="s">
        <v>224</v>
      </c>
      <c r="B15" s="27" t="n">
        <f aca="false">SUM(Dataset!$E$2:$E$201)</f>
        <v>195217.76</v>
      </c>
      <c r="C15" s="27" t="n">
        <f aca="false">SUM(Dataset!$F$2:$F$201)</f>
        <v>1999</v>
      </c>
      <c r="D15" s="27" t="n">
        <f aca="false">SUM(Dataset!$G$2:$G$201)</f>
        <v>19.45</v>
      </c>
      <c r="E15" s="27" t="n">
        <f aca="false">SUM(Dataset!$I$2:$I$201)</f>
        <v>68287.01</v>
      </c>
    </row>
    <row r="16" customFormat="false" ht="15" hidden="false" customHeight="false" outlineLevel="0" collapsed="false">
      <c r="A16" s="23" t="s">
        <v>225</v>
      </c>
      <c r="B16" s="27" t="n">
        <f aca="false">COUNT(Dataset!$E$2:$E$201)</f>
        <v>200</v>
      </c>
      <c r="C16" s="27" t="n">
        <f aca="false">COUNT(Dataset!$F$2:$F$201)</f>
        <v>200</v>
      </c>
      <c r="D16" s="27" t="n">
        <f aca="false">COUNT(Dataset!$G$2:$G$201)</f>
        <v>200</v>
      </c>
      <c r="E16" s="27" t="n">
        <f aca="false">COUNT(Dataset!$I$2:$I$201)</f>
        <v>200</v>
      </c>
    </row>
    <row r="18" customFormat="false" ht="15" hidden="false" customHeight="false" outlineLevel="0" collapsed="false">
      <c r="A18" s="19" t="s">
        <v>226</v>
      </c>
    </row>
    <row r="19" customFormat="false" ht="15" hidden="false" customHeight="false" outlineLevel="0" collapsed="false">
      <c r="A19" s="22" t="s">
        <v>227</v>
      </c>
      <c r="B19" s="22" t="s">
        <v>70</v>
      </c>
      <c r="C19" s="22" t="s">
        <v>71</v>
      </c>
      <c r="D19" s="22" t="s">
        <v>72</v>
      </c>
      <c r="E19" s="22" t="s">
        <v>74</v>
      </c>
    </row>
    <row r="20" customFormat="false" ht="15" hidden="false" customHeight="false" outlineLevel="0" collapsed="false">
      <c r="A20" s="23" t="s">
        <v>228</v>
      </c>
      <c r="B20" s="27" t="n">
        <f aca="false">QUARTILE(Dataset!$E$2:$E$201,1)</f>
        <v>761.8375</v>
      </c>
      <c r="C20" s="27" t="n">
        <f aca="false">QUARTILE(Dataset!$F$2:$F$201,1)</f>
        <v>5</v>
      </c>
      <c r="D20" s="27" t="n">
        <f aca="false">QUARTILE(Dataset!$G$2:$G$201,1)</f>
        <v>0.05</v>
      </c>
      <c r="E20" s="27" t="n">
        <f aca="false">QUARTILE(Dataset!$I$2:$I$201,1)</f>
        <v>240.8425</v>
      </c>
    </row>
    <row r="21" customFormat="false" ht="15" hidden="false" customHeight="false" outlineLevel="0" collapsed="false">
      <c r="A21" s="23" t="s">
        <v>229</v>
      </c>
      <c r="B21" s="27" t="n">
        <f aca="false">QUARTILE(Dataset!$E$2:$E$201,3)</f>
        <v>1173.0075</v>
      </c>
      <c r="C21" s="27" t="n">
        <f aca="false">QUARTILE(Dataset!$F$2:$F$201,3)</f>
        <v>15</v>
      </c>
      <c r="D21" s="27" t="n">
        <f aca="false">QUARTILE(Dataset!$G$2:$G$201,3)</f>
        <v>0.15</v>
      </c>
      <c r="E21" s="27" t="n">
        <f aca="false">QUARTILE(Dataset!$I$2:$I$201,3)</f>
        <v>440.0375</v>
      </c>
    </row>
    <row r="22" customFormat="false" ht="15" hidden="false" customHeight="false" outlineLevel="0" collapsed="false">
      <c r="A22" s="23" t="s">
        <v>230</v>
      </c>
      <c r="B22" s="27" t="n">
        <f aca="false">B21-B20</f>
        <v>411.17</v>
      </c>
      <c r="C22" s="27" t="n">
        <f aca="false">C21-C20</f>
        <v>10</v>
      </c>
      <c r="D22" s="27" t="n">
        <f aca="false">D21-D20</f>
        <v>0.1</v>
      </c>
      <c r="E22" s="27" t="n">
        <f aca="false">E21-E20</f>
        <v>199.195</v>
      </c>
    </row>
    <row r="23" customFormat="false" ht="15" hidden="false" customHeight="false" outlineLevel="0" collapsed="false">
      <c r="A23" s="23" t="s">
        <v>231</v>
      </c>
      <c r="B23" s="27" t="n">
        <f aca="false">PERCENTILE(Dataset!$E$2:$E$201,0.9)</f>
        <v>1361.458</v>
      </c>
      <c r="C23" s="27" t="n">
        <f aca="false">PERCENTILE(Dataset!$F$2:$F$201,0.9)</f>
        <v>18</v>
      </c>
      <c r="D23" s="27" t="n">
        <f aca="false">PERCENTILE(Dataset!$G$2:$G$201,0.9)</f>
        <v>0.2</v>
      </c>
      <c r="E23" s="27" t="n">
        <f aca="false">PERCENTILE(Dataset!$I$2:$I$201,0.9)</f>
        <v>511.364</v>
      </c>
    </row>
    <row r="24" customFormat="false" ht="15" hidden="false" customHeight="false" outlineLevel="0" collapsed="false">
      <c r="A24" s="23" t="s">
        <v>232</v>
      </c>
      <c r="B24" s="28" t="n">
        <f aca="false">STDEV(Dataset!$E$2:$E$201)/AVERAGE(Dataset!$E$2:$E$201)</f>
        <v>0.30660505386248</v>
      </c>
      <c r="C24" s="28" t="n">
        <f aca="false">STDEV(Dataset!$F$2:$F$201)/AVERAGE(Dataset!$F$2:$F$201)</f>
        <v>0.564945177084994</v>
      </c>
      <c r="D24" s="28" t="n">
        <f aca="false">STDEV(Dataset!$G$2:$G$201)/AVERAGE(Dataset!$G$2:$G$201)</f>
        <v>0.743715116846838</v>
      </c>
      <c r="E24" s="28" t="n">
        <f aca="false">STDEV(Dataset!$I$2:$I$201)/AVERAGE(Dataset!$I$2:$I$201)</f>
        <v>0.397634027482581</v>
      </c>
    </row>
    <row r="25" customFormat="false" ht="15" hidden="false" customHeight="false" outlineLevel="0" collapsed="false">
      <c r="A25" s="23" t="s">
        <v>233</v>
      </c>
      <c r="B25" s="27" t="n">
        <f aca="false">B20-1.5*B22</f>
        <v>145.0825</v>
      </c>
      <c r="C25" s="27" t="n">
        <f aca="false">C20-1.5*C22</f>
        <v>-10</v>
      </c>
      <c r="D25" s="27" t="n">
        <f aca="false">D20-1.5*D22</f>
        <v>-0.1</v>
      </c>
      <c r="E25" s="27" t="n">
        <f aca="false">E20-1.5*E22</f>
        <v>-57.95</v>
      </c>
    </row>
    <row r="26" customFormat="false" ht="15" hidden="false" customHeight="false" outlineLevel="0" collapsed="false">
      <c r="A26" s="23" t="s">
        <v>234</v>
      </c>
      <c r="B26" s="27" t="n">
        <f aca="false">B21+1.5*B22</f>
        <v>1789.7625</v>
      </c>
      <c r="C26" s="27" t="n">
        <f aca="false">C21+1.5*C22</f>
        <v>30</v>
      </c>
      <c r="D26" s="27" t="n">
        <f aca="false">D21+1.5*D22</f>
        <v>0.3</v>
      </c>
      <c r="E26" s="27" t="n">
        <f aca="false">E21+1.5*E22</f>
        <v>738.83</v>
      </c>
    </row>
    <row r="27" customFormat="false" ht="15" hidden="false" customHeight="false" outlineLevel="0" collapsed="false">
      <c r="A27" s="23" t="s">
        <v>235</v>
      </c>
      <c r="B27" s="42" t="n">
        <f aca="false">COUNTIF(Dataset!$E$2:$E$201,"&lt;"&amp;B25)+COUNTIF(Dataset!$E$2:$E$201,"&gt;"&amp;B26)</f>
        <v>1</v>
      </c>
      <c r="C27" s="42" t="n">
        <f aca="false">COUNTIF(Dataset!$F$2:$F$201,"&lt;"&amp;C25)+COUNTIF(Dataset!$F$2:$F$201,"&gt;"&amp;C26)</f>
        <v>0</v>
      </c>
      <c r="D27" s="42" t="n">
        <f aca="false">COUNTIF(Dataset!$G$2:$G$201,"&lt;"&amp;D25)+COUNTIF(Dataset!$G$2:$G$201,"&gt;"&amp;D26)</f>
        <v>0</v>
      </c>
      <c r="E27" s="42" t="n">
        <f aca="false">COUNTIF(Dataset!$I$2:$I$201,"&lt;"&amp;E25)+COUNTIF(Dataset!$I$2:$I$201,"&gt;"&amp;E26)</f>
        <v>2</v>
      </c>
    </row>
    <row r="28" customFormat="false" ht="15" hidden="false" customHeight="false" outlineLevel="0" collapsed="false">
      <c r="A28" s="23" t="s">
        <v>236</v>
      </c>
      <c r="B28" s="27" t="n">
        <f aca="false">CONFIDENCE(0.05,STDEV(Dataset!$E$2:$E$201),COUNT(Dataset!$E$2:$E$201))</f>
        <v>41.4764647262203</v>
      </c>
      <c r="C28" s="27" t="n">
        <f aca="false">CONFIDENCE(0.05,STDEV(Dataset!$F$2:$F$201),COUNT(Dataset!$F$2:$F$201))</f>
        <v>0.782568201629263</v>
      </c>
      <c r="D28" s="27" t="n">
        <f aca="false">CONFIDENCE(0.05,STDEV(Dataset!$G$2:$G$201),COUNT(Dataset!$G$2:$G$201))</f>
        <v>0.0100237288998642</v>
      </c>
      <c r="E28" s="27" t="n">
        <f aca="false">CONFIDENCE(0.05,STDEV(Dataset!$I$2:$I$201),COUNT(Dataset!$I$2:$I$201))</f>
        <v>18.8158887558525</v>
      </c>
    </row>
    <row r="31" customFormat="false" ht="15" hidden="false" customHeight="false" outlineLevel="0" collapsed="false">
      <c r="A31" s="19" t="s">
        <v>237</v>
      </c>
    </row>
    <row r="32" customFormat="false" ht="15" hidden="false" customHeight="false" outlineLevel="0" collapsed="false">
      <c r="A32" s="22"/>
      <c r="B32" s="22" t="s">
        <v>70</v>
      </c>
      <c r="C32" s="22" t="s">
        <v>71</v>
      </c>
      <c r="D32" s="22" t="s">
        <v>72</v>
      </c>
      <c r="E32" s="22" t="s">
        <v>74</v>
      </c>
    </row>
    <row r="33" customFormat="false" ht="15" hidden="false" customHeight="false" outlineLevel="0" collapsed="false">
      <c r="A33" s="30" t="s">
        <v>70</v>
      </c>
      <c r="B33" s="40" t="n">
        <f aca="false">CORREL(Dataset!$E$2:$E$201,Dataset!$E$2:$E$201)</f>
        <v>1</v>
      </c>
      <c r="C33" s="40" t="n">
        <f aca="false">CORREL(Dataset!$E$2:$E$201,Dataset!$F$2:$F$201)</f>
        <v>-0.0185401474775235</v>
      </c>
      <c r="D33" s="40" t="n">
        <f aca="false">CORREL(Dataset!$E$2:$E$201,Dataset!$G$2:$G$201)</f>
        <v>0.0668218717420025</v>
      </c>
      <c r="E33" s="40" t="n">
        <f aca="false">CORREL(Dataset!$E$2:$E$201,Dataset!$I$2:$I$201)</f>
        <v>0.773403064143426</v>
      </c>
    </row>
    <row r="34" customFormat="false" ht="15" hidden="false" customHeight="false" outlineLevel="0" collapsed="false">
      <c r="A34" s="30" t="s">
        <v>71</v>
      </c>
      <c r="B34" s="40" t="n">
        <f aca="false">CORREL(Dataset!$F$2:$F$201,Dataset!$E$2:$E$201)</f>
        <v>-0.0185401474775235</v>
      </c>
      <c r="C34" s="40" t="n">
        <f aca="false">CORREL(Dataset!$F$2:$F$201,Dataset!$F$2:$F$201)</f>
        <v>1</v>
      </c>
      <c r="D34" s="40" t="n">
        <f aca="false">CORREL(Dataset!$F$2:$F$201,Dataset!$G$2:$G$201)</f>
        <v>0.00734882252128135</v>
      </c>
      <c r="E34" s="40" t="n">
        <f aca="false">CORREL(Dataset!$F$2:$F$201,Dataset!$I$2:$I$201)</f>
        <v>-0.0157578847786486</v>
      </c>
    </row>
    <row r="35" customFormat="false" ht="15" hidden="false" customHeight="false" outlineLevel="0" collapsed="false">
      <c r="A35" s="30" t="s">
        <v>72</v>
      </c>
      <c r="B35" s="40" t="n">
        <f aca="false">CORREL(Dataset!$G$2:$G$201,Dataset!$E$2:$E$201)</f>
        <v>0.0668218717420025</v>
      </c>
      <c r="C35" s="40" t="n">
        <f aca="false">CORREL(Dataset!$G$2:$G$201,Dataset!$F$2:$F$201)</f>
        <v>0.00734882252128135</v>
      </c>
      <c r="D35" s="40" t="n">
        <f aca="false">CORREL(Dataset!$G$2:$G$201,Dataset!$G$2:$G$201)</f>
        <v>1</v>
      </c>
      <c r="E35" s="40" t="n">
        <f aca="false">CORREL(Dataset!$G$2:$G$201,Dataset!$I$2:$I$201)</f>
        <v>-0.165579334535149</v>
      </c>
    </row>
    <row r="36" customFormat="false" ht="15" hidden="false" customHeight="false" outlineLevel="0" collapsed="false">
      <c r="A36" s="30" t="s">
        <v>74</v>
      </c>
      <c r="B36" s="40" t="n">
        <f aca="false">CORREL(Dataset!$I$2:$I$201,Dataset!$E$2:$E$201)</f>
        <v>0.773403064143426</v>
      </c>
      <c r="C36" s="40" t="n">
        <f aca="false">CORREL(Dataset!$I$2:$I$201,Dataset!$F$2:$F$201)</f>
        <v>-0.0157578847786486</v>
      </c>
      <c r="D36" s="40" t="n">
        <f aca="false">CORREL(Dataset!$I$2:$I$201,Dataset!$G$2:$G$201)</f>
        <v>-0.165579334535149</v>
      </c>
      <c r="E36" s="40" t="n">
        <f aca="false">CORREL(Dataset!$I$2:$I$201,Dataset!$I$2:$I$201)</f>
        <v>1</v>
      </c>
    </row>
    <row r="39" customFormat="false" ht="15" hidden="false" customHeight="false" outlineLevel="0" collapsed="false">
      <c r="A39" s="19" t="s">
        <v>238</v>
      </c>
    </row>
    <row r="40" customFormat="false" ht="15" hidden="false" customHeight="false" outlineLevel="0" collapsed="false">
      <c r="A40" s="23" t="s">
        <v>239</v>
      </c>
      <c r="B40" s="43" t="n">
        <v>250</v>
      </c>
    </row>
    <row r="41" customFormat="false" ht="15" hidden="false" customHeight="false" outlineLevel="0" collapsed="false">
      <c r="A41" s="23" t="s">
        <v>240</v>
      </c>
      <c r="B41" s="43" t="n">
        <v>200</v>
      </c>
    </row>
    <row r="43" customFormat="false" ht="15" hidden="false" customHeight="false" outlineLevel="0" collapsed="false">
      <c r="A43" s="22" t="s">
        <v>241</v>
      </c>
      <c r="B43" s="22" t="s">
        <v>242</v>
      </c>
      <c r="C43" s="22" t="s">
        <v>243</v>
      </c>
      <c r="D43" s="22" t="s">
        <v>244</v>
      </c>
    </row>
    <row r="44" customFormat="false" ht="15" hidden="false" customHeight="false" outlineLevel="0" collapsed="false">
      <c r="A44" s="23" t="str">
        <f aca="false">B44&amp;" - "&amp;C44</f>
        <v>250 - 450</v>
      </c>
      <c r="B44" s="23" t="n">
        <f aca="false">$B$40</f>
        <v>250</v>
      </c>
      <c r="C44" s="23" t="n">
        <f aca="false">B44+$B$41</f>
        <v>450</v>
      </c>
      <c r="D44" s="23" t="n">
        <f aca="false">COUNTIFS(Dataset!$E$2:$E$201,"&gt;"&amp;B44,Dataset!$E$2:$E$201,"&lt;="&amp;C44)</f>
        <v>7</v>
      </c>
    </row>
    <row r="45" customFormat="false" ht="15" hidden="false" customHeight="false" outlineLevel="0" collapsed="false">
      <c r="A45" s="23" t="str">
        <f aca="false">B45&amp;" - "&amp;C45</f>
        <v>450 - 650</v>
      </c>
      <c r="B45" s="23" t="n">
        <f aca="false">C44</f>
        <v>450</v>
      </c>
      <c r="C45" s="23" t="n">
        <f aca="false">B45+$B$41</f>
        <v>650</v>
      </c>
      <c r="D45" s="23" t="n">
        <f aca="false">COUNTIFS(Dataset!$E$2:$E$201,"&gt;"&amp;B45,Dataset!$E$2:$E$201,"&lt;="&amp;C45)</f>
        <v>19</v>
      </c>
    </row>
    <row r="46" customFormat="false" ht="15" hidden="false" customHeight="false" outlineLevel="0" collapsed="false">
      <c r="A46" s="23" t="str">
        <f aca="false">B46&amp;" - "&amp;C46</f>
        <v>650 - 850</v>
      </c>
      <c r="B46" s="23" t="n">
        <f aca="false">C45</f>
        <v>650</v>
      </c>
      <c r="C46" s="23" t="n">
        <f aca="false">B46+$B$41</f>
        <v>850</v>
      </c>
      <c r="D46" s="23" t="n">
        <f aca="false">COUNTIFS(Dataset!$E$2:$E$201,"&gt;"&amp;B46,Dataset!$E$2:$E$201,"&lt;="&amp;C46)</f>
        <v>44</v>
      </c>
    </row>
    <row r="47" customFormat="false" ht="15" hidden="false" customHeight="false" outlineLevel="0" collapsed="false">
      <c r="A47" s="23" t="str">
        <f aca="false">B47&amp;" - "&amp;C47</f>
        <v>850 - 1050</v>
      </c>
      <c r="B47" s="23" t="n">
        <f aca="false">C46</f>
        <v>850</v>
      </c>
      <c r="C47" s="23" t="n">
        <f aca="false">B47+$B$41</f>
        <v>1050</v>
      </c>
      <c r="D47" s="23" t="n">
        <f aca="false">COUNTIFS(Dataset!$E$2:$E$201,"&gt;"&amp;B47,Dataset!$E$2:$E$201,"&lt;="&amp;C47)</f>
        <v>51</v>
      </c>
    </row>
    <row r="48" customFormat="false" ht="15" hidden="false" customHeight="false" outlineLevel="0" collapsed="false">
      <c r="A48" s="23" t="str">
        <f aca="false">B48&amp;" - "&amp;C48</f>
        <v>1050 - 1250</v>
      </c>
      <c r="B48" s="23" t="n">
        <f aca="false">C47</f>
        <v>1050</v>
      </c>
      <c r="C48" s="23" t="n">
        <f aca="false">B48+$B$41</f>
        <v>1250</v>
      </c>
      <c r="D48" s="23" t="n">
        <f aca="false">COUNTIFS(Dataset!$E$2:$E$201,"&gt;"&amp;B48,Dataset!$E$2:$E$201,"&lt;="&amp;C48)</f>
        <v>45</v>
      </c>
    </row>
    <row r="49" customFormat="false" ht="15" hidden="false" customHeight="false" outlineLevel="0" collapsed="false">
      <c r="A49" s="23" t="str">
        <f aca="false">B49&amp;" - "&amp;C49</f>
        <v>1250 - 1450</v>
      </c>
      <c r="B49" s="23" t="n">
        <f aca="false">C48</f>
        <v>1250</v>
      </c>
      <c r="C49" s="23" t="n">
        <f aca="false">B49+$B$41</f>
        <v>1450</v>
      </c>
      <c r="D49" s="23" t="n">
        <f aca="false">COUNTIFS(Dataset!$E$2:$E$201,"&gt;"&amp;B49,Dataset!$E$2:$E$201,"&lt;="&amp;C49)</f>
        <v>20</v>
      </c>
    </row>
    <row r="50" customFormat="false" ht="15" hidden="false" customHeight="false" outlineLevel="0" collapsed="false">
      <c r="A50" s="23" t="str">
        <f aca="false">B50&amp;" - "&amp;C50</f>
        <v>1450 - 1650</v>
      </c>
      <c r="B50" s="23" t="n">
        <f aca="false">C49</f>
        <v>1450</v>
      </c>
      <c r="C50" s="23" t="n">
        <f aca="false">B50+$B$41</f>
        <v>1650</v>
      </c>
      <c r="D50" s="23" t="n">
        <f aca="false">COUNTIFS(Dataset!$E$2:$E$201,"&gt;"&amp;B50,Dataset!$E$2:$E$201,"&lt;="&amp;C50)</f>
        <v>12</v>
      </c>
    </row>
    <row r="51" customFormat="false" ht="15" hidden="false" customHeight="false" outlineLevel="0" collapsed="false">
      <c r="A51" s="23" t="str">
        <f aca="false">B51&amp;" - "&amp;C51</f>
        <v>1650 - 1850</v>
      </c>
      <c r="B51" s="23" t="n">
        <f aca="false">C50</f>
        <v>1650</v>
      </c>
      <c r="C51" s="23" t="n">
        <f aca="false">B51+$B$41</f>
        <v>1850</v>
      </c>
      <c r="D51" s="23" t="n">
        <f aca="false">COUNTIFS(Dataset!$E$2:$E$201,"&gt;"&amp;B51,Dataset!$E$2:$E$201,"&lt;="&amp;C51)</f>
        <v>1</v>
      </c>
    </row>
    <row r="52" customFormat="false" ht="15" hidden="false" customHeight="false" outlineLevel="0" collapsed="false">
      <c r="A52" s="23" t="str">
        <f aca="false">B52&amp;" - "&amp;C52</f>
        <v>1850 - 2050</v>
      </c>
      <c r="B52" s="23" t="n">
        <f aca="false">C51</f>
        <v>1850</v>
      </c>
      <c r="C52" s="23" t="n">
        <f aca="false">B52+$B$41</f>
        <v>2050</v>
      </c>
      <c r="D52" s="23" t="n">
        <f aca="false">COUNTIFS(Dataset!$E$2:$E$201,"&gt;"&amp;B52,Dataset!$E$2:$E$201,"&lt;="&amp;C52)</f>
        <v>1</v>
      </c>
    </row>
    <row r="53" customFormat="false" ht="15" hidden="false" customHeight="false" outlineLevel="0" collapsed="false">
      <c r="A53" s="30" t="s">
        <v>157</v>
      </c>
      <c r="D53" s="30" t="n">
        <f aca="false">SUM(D44:D52)</f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29" t="s">
        <v>245</v>
      </c>
    </row>
    <row r="2" customFormat="false" ht="15" hidden="false" customHeight="false" outlineLevel="0" collapsed="false">
      <c r="A2" s="21" t="s">
        <v>246</v>
      </c>
    </row>
    <row r="3" customFormat="false" ht="15" hidden="false" customHeight="false" outlineLevel="0" collapsed="false">
      <c r="A3" s="22" t="s">
        <v>247</v>
      </c>
      <c r="B3" s="22" t="s">
        <v>70</v>
      </c>
      <c r="C3" s="22" t="s">
        <v>74</v>
      </c>
      <c r="D3" s="22" t="s">
        <v>150</v>
      </c>
      <c r="E3" s="22" t="s">
        <v>248</v>
      </c>
      <c r="F3" s="22" t="s">
        <v>249</v>
      </c>
      <c r="G3" s="22" t="s">
        <v>79</v>
      </c>
    </row>
    <row r="4" customFormat="false" ht="15" hidden="false" customHeight="false" outlineLevel="0" collapsed="false">
      <c r="A4" s="26" t="n">
        <f aca="false">DATE(2024,4,1)</f>
        <v>45383</v>
      </c>
      <c r="B4" s="27" t="n">
        <f aca="false">SUMIFS(Dataset!$E$2:$E$201,Dataset!$K$2:$K$201,A4)</f>
        <v>19029.96</v>
      </c>
      <c r="C4" s="27" t="n">
        <f aca="false">SUMIFS(Dataset!$I$2:$I$201,Dataset!$K$2:$K$201,A4)</f>
        <v>6244.01</v>
      </c>
      <c r="D4" s="23" t="n">
        <f aca="false">COUNTIFS(Dataset!$K$2:$K$201,A4)</f>
        <v>19</v>
      </c>
      <c r="E4" s="44" t="str">
        <f aca="false">""</f>
        <v/>
      </c>
      <c r="F4" s="45" t="str">
        <f aca="false">IF(E4="","",IF(E4&gt;0,"▲",IF(E4&lt;0,"▼","▬")))</f>
        <v/>
      </c>
      <c r="G4" s="28" t="n">
        <f aca="false">C4/B4</f>
        <v>0.328114720157058</v>
      </c>
    </row>
    <row r="5" customFormat="false" ht="15" hidden="false" customHeight="false" outlineLevel="0" collapsed="false">
      <c r="A5" s="26" t="n">
        <f aca="false">EDATE(A4,1)</f>
        <v>45413</v>
      </c>
      <c r="B5" s="27" t="n">
        <f aca="false">SUMIFS(Dataset!$E$2:$E$201,Dataset!$K$2:$K$201,A5)</f>
        <v>18507.34</v>
      </c>
      <c r="C5" s="27" t="n">
        <f aca="false">SUMIFS(Dataset!$I$2:$I$201,Dataset!$K$2:$K$201,A5)</f>
        <v>6121.35</v>
      </c>
      <c r="D5" s="23" t="n">
        <f aca="false">COUNTIFS(Dataset!$K$2:$K$201,A5)</f>
        <v>21</v>
      </c>
      <c r="E5" s="44" t="n">
        <f aca="false">IFERROR(B5/B4-1,"")</f>
        <v>-0.0274630109574586</v>
      </c>
      <c r="F5" s="45" t="str">
        <f aca="false">IF(E5="","",IF(E5&gt;0,"▲",IF(E5&lt;0,"▼","▬")))</f>
        <v>▼</v>
      </c>
      <c r="G5" s="28" t="n">
        <f aca="false">C5/B5</f>
        <v>0.330752555472586</v>
      </c>
    </row>
    <row r="6" customFormat="false" ht="15" hidden="false" customHeight="false" outlineLevel="0" collapsed="false">
      <c r="A6" s="26" t="n">
        <f aca="false">EDATE(A5,1)</f>
        <v>45444</v>
      </c>
      <c r="B6" s="27" t="n">
        <f aca="false">SUMIFS(Dataset!$E$2:$E$201,Dataset!$K$2:$K$201,A6)</f>
        <v>20187.51</v>
      </c>
      <c r="C6" s="27" t="n">
        <f aca="false">SUMIFS(Dataset!$I$2:$I$201,Dataset!$K$2:$K$201,A6)</f>
        <v>6918</v>
      </c>
      <c r="D6" s="23" t="n">
        <f aca="false">COUNTIFS(Dataset!$K$2:$K$201,A6)</f>
        <v>20</v>
      </c>
      <c r="E6" s="44" t="n">
        <f aca="false">IFERROR(B6/B5-1,"")</f>
        <v>0.0907839808421955</v>
      </c>
      <c r="F6" s="45" t="str">
        <f aca="false">IF(E6="","",IF(E6&gt;0,"▲",IF(E6&lt;0,"▼","▬")))</f>
        <v>▲</v>
      </c>
      <c r="G6" s="28" t="n">
        <f aca="false">C6/B6</f>
        <v>0.342687136749406</v>
      </c>
    </row>
    <row r="7" customFormat="false" ht="15" hidden="false" customHeight="false" outlineLevel="0" collapsed="false">
      <c r="A7" s="26" t="n">
        <f aca="false">EDATE(A6,1)</f>
        <v>45474</v>
      </c>
      <c r="B7" s="27" t="n">
        <f aca="false">SUMIFS(Dataset!$E$2:$E$201,Dataset!$K$2:$K$201,A7)</f>
        <v>11609.04</v>
      </c>
      <c r="C7" s="27" t="n">
        <f aca="false">SUMIFS(Dataset!$I$2:$I$201,Dataset!$K$2:$K$201,A7)</f>
        <v>3743.85</v>
      </c>
      <c r="D7" s="23" t="n">
        <f aca="false">COUNTIFS(Dataset!$K$2:$K$201,A7)</f>
        <v>12</v>
      </c>
      <c r="E7" s="44" t="n">
        <f aca="false">IFERROR(B7/B6-1,"")</f>
        <v>-0.42493947990614</v>
      </c>
      <c r="F7" s="45" t="str">
        <f aca="false">IF(E7="","",IF(E7&gt;0,"▲",IF(E7&lt;0,"▼","▬")))</f>
        <v>▼</v>
      </c>
      <c r="G7" s="28" t="n">
        <f aca="false">C7/B7</f>
        <v>0.322494366459242</v>
      </c>
    </row>
    <row r="8" customFormat="false" ht="15" hidden="false" customHeight="false" outlineLevel="0" collapsed="false">
      <c r="A8" s="26" t="n">
        <f aca="false">EDATE(A7,1)</f>
        <v>45505</v>
      </c>
      <c r="B8" s="27" t="n">
        <f aca="false">SUMIFS(Dataset!$E$2:$E$201,Dataset!$K$2:$K$201,A8)</f>
        <v>10091.7</v>
      </c>
      <c r="C8" s="27" t="n">
        <f aca="false">SUMIFS(Dataset!$I$2:$I$201,Dataset!$K$2:$K$201,A8)</f>
        <v>3302.84</v>
      </c>
      <c r="D8" s="23" t="n">
        <f aca="false">COUNTIFS(Dataset!$K$2:$K$201,A8)</f>
        <v>10</v>
      </c>
      <c r="E8" s="44" t="n">
        <f aca="false">IFERROR(B8/B7-1,"")</f>
        <v>-0.130703313969114</v>
      </c>
      <c r="F8" s="45" t="str">
        <f aca="false">IF(E8="","",IF(E8&gt;0,"▲",IF(E8&lt;0,"▼","▬")))</f>
        <v>▼</v>
      </c>
      <c r="G8" s="28" t="n">
        <f aca="false">C8/B8</f>
        <v>0.327282816572034</v>
      </c>
    </row>
    <row r="9" customFormat="false" ht="15" hidden="false" customHeight="false" outlineLevel="0" collapsed="false">
      <c r="A9" s="26" t="n">
        <f aca="false">EDATE(A8,1)</f>
        <v>45536</v>
      </c>
      <c r="B9" s="27" t="n">
        <f aca="false">SUMIFS(Dataset!$E$2:$E$201,Dataset!$K$2:$K$201,A9)</f>
        <v>20533.5</v>
      </c>
      <c r="C9" s="27" t="n">
        <f aca="false">SUMIFS(Dataset!$I$2:$I$201,Dataset!$K$2:$K$201,A9)</f>
        <v>7457.52</v>
      </c>
      <c r="D9" s="23" t="n">
        <f aca="false">COUNTIFS(Dataset!$K$2:$K$201,A9)</f>
        <v>20</v>
      </c>
      <c r="E9" s="44" t="n">
        <f aca="false">IFERROR(B9/B8-1,"")</f>
        <v>1.03469187550165</v>
      </c>
      <c r="F9" s="45" t="str">
        <f aca="false">IF(E9="","",IF(E9&gt;0,"▲",IF(E9&lt;0,"▼","▬")))</f>
        <v>▲</v>
      </c>
      <c r="G9" s="28" t="n">
        <f aca="false">C9/B9</f>
        <v>0.363187961136679</v>
      </c>
    </row>
    <row r="10" customFormat="false" ht="15" hidden="false" customHeight="false" outlineLevel="0" collapsed="false">
      <c r="A10" s="26" t="n">
        <f aca="false">EDATE(A9,1)</f>
        <v>45566</v>
      </c>
      <c r="B10" s="27" t="n">
        <f aca="false">SUMIFS(Dataset!$E$2:$E$201,Dataset!$K$2:$K$201,A10)</f>
        <v>14215.24</v>
      </c>
      <c r="C10" s="27" t="n">
        <f aca="false">SUMIFS(Dataset!$I$2:$I$201,Dataset!$K$2:$K$201,A10)</f>
        <v>4861.7</v>
      </c>
      <c r="D10" s="23" t="n">
        <f aca="false">COUNTIFS(Dataset!$K$2:$K$201,A10)</f>
        <v>14</v>
      </c>
      <c r="E10" s="44" t="n">
        <f aca="false">IFERROR(B10/B9-1,"")</f>
        <v>-0.307704969927192</v>
      </c>
      <c r="F10" s="45" t="str">
        <f aca="false">IF(E10="","",IF(E10&gt;0,"▲",IF(E10&lt;0,"▼","▬")))</f>
        <v>▼</v>
      </c>
      <c r="G10" s="28" t="n">
        <f aca="false">C10/B10</f>
        <v>0.342006184911405</v>
      </c>
    </row>
    <row r="11" customFormat="false" ht="15" hidden="false" customHeight="false" outlineLevel="0" collapsed="false">
      <c r="A11" s="26" t="n">
        <f aca="false">EDATE(A10,1)</f>
        <v>45597</v>
      </c>
      <c r="B11" s="27" t="n">
        <f aca="false">SUMIFS(Dataset!$E$2:$E$201,Dataset!$K$2:$K$201,A11)</f>
        <v>20135.03</v>
      </c>
      <c r="C11" s="27" t="n">
        <f aca="false">SUMIFS(Dataset!$I$2:$I$201,Dataset!$K$2:$K$201,A11)</f>
        <v>6814.88</v>
      </c>
      <c r="D11" s="23" t="n">
        <f aca="false">COUNTIFS(Dataset!$K$2:$K$201,A11)</f>
        <v>20</v>
      </c>
      <c r="E11" s="44" t="n">
        <f aca="false">IFERROR(B11/B10-1,"")</f>
        <v>0.416439680230513</v>
      </c>
      <c r="F11" s="45" t="str">
        <f aca="false">IF(E11="","",IF(E11&gt;0,"▲",IF(E11&lt;0,"▼","▬")))</f>
        <v>▲</v>
      </c>
      <c r="G11" s="28" t="n">
        <f aca="false">C11/B11</f>
        <v>0.338458894771947</v>
      </c>
    </row>
    <row r="12" customFormat="false" ht="15" hidden="false" customHeight="false" outlineLevel="0" collapsed="false">
      <c r="A12" s="26" t="n">
        <f aca="false">EDATE(A11,1)</f>
        <v>45627</v>
      </c>
      <c r="B12" s="27" t="n">
        <f aca="false">SUMIFS(Dataset!$E$2:$E$201,Dataset!$K$2:$K$201,A12)</f>
        <v>11120.04</v>
      </c>
      <c r="C12" s="27" t="n">
        <f aca="false">SUMIFS(Dataset!$I$2:$I$201,Dataset!$K$2:$K$201,A12)</f>
        <v>3549.99</v>
      </c>
      <c r="D12" s="23" t="n">
        <f aca="false">COUNTIFS(Dataset!$K$2:$K$201,A12)</f>
        <v>11</v>
      </c>
      <c r="E12" s="44" t="n">
        <f aca="false">IFERROR(B12/B11-1,"")</f>
        <v>-0.447726673364778</v>
      </c>
      <c r="F12" s="45" t="str">
        <f aca="false">IF(E12="","",IF(E12&gt;0,"▲",IF(E12&lt;0,"▼","▬")))</f>
        <v>▼</v>
      </c>
      <c r="G12" s="28" t="n">
        <f aca="false">C12/B12</f>
        <v>0.319242556681451</v>
      </c>
    </row>
    <row r="13" customFormat="false" ht="15" hidden="false" customHeight="false" outlineLevel="0" collapsed="false">
      <c r="A13" s="26" t="n">
        <f aca="false">EDATE(A12,1)</f>
        <v>45658</v>
      </c>
      <c r="B13" s="27" t="n">
        <f aca="false">SUMIFS(Dataset!$E$2:$E$201,Dataset!$K$2:$K$201,A13)</f>
        <v>14914.65</v>
      </c>
      <c r="C13" s="27" t="n">
        <f aca="false">SUMIFS(Dataset!$I$2:$I$201,Dataset!$K$2:$K$201,A13)</f>
        <v>5763.4</v>
      </c>
      <c r="D13" s="23" t="n">
        <f aca="false">COUNTIFS(Dataset!$K$2:$K$201,A13)</f>
        <v>16</v>
      </c>
      <c r="E13" s="44" t="n">
        <f aca="false">IFERROR(B13/B12-1,"")</f>
        <v>0.341240678990363</v>
      </c>
      <c r="F13" s="45" t="str">
        <f aca="false">IF(E13="","",IF(E13&gt;0,"▲",IF(E13&lt;0,"▼","▬")))</f>
        <v>▲</v>
      </c>
      <c r="G13" s="28" t="n">
        <f aca="false">C13/B13</f>
        <v>0.386425427348278</v>
      </c>
    </row>
    <row r="14" customFormat="false" ht="15" hidden="false" customHeight="false" outlineLevel="0" collapsed="false">
      <c r="A14" s="26" t="n">
        <f aca="false">EDATE(A13,1)</f>
        <v>45689</v>
      </c>
      <c r="B14" s="27" t="n">
        <f aca="false">SUMIFS(Dataset!$E$2:$E$201,Dataset!$K$2:$K$201,A14)</f>
        <v>14006.36</v>
      </c>
      <c r="C14" s="27" t="n">
        <f aca="false">SUMIFS(Dataset!$I$2:$I$201,Dataset!$K$2:$K$201,A14)</f>
        <v>5039.23</v>
      </c>
      <c r="D14" s="23" t="n">
        <f aca="false">COUNTIFS(Dataset!$K$2:$K$201,A14)</f>
        <v>14</v>
      </c>
      <c r="E14" s="44" t="n">
        <f aca="false">IFERROR(B14/B13-1,"")</f>
        <v>-0.0608991830180392</v>
      </c>
      <c r="F14" s="45" t="str">
        <f aca="false">IF(E14="","",IF(E14&gt;0,"▲",IF(E14&lt;0,"▼","▬")))</f>
        <v>▼</v>
      </c>
      <c r="G14" s="28" t="n">
        <f aca="false">C14/B14</f>
        <v>0.359781556378674</v>
      </c>
    </row>
    <row r="15" customFormat="false" ht="15" hidden="false" customHeight="false" outlineLevel="0" collapsed="false">
      <c r="A15" s="26" t="n">
        <f aca="false">EDATE(A14,1)</f>
        <v>45717</v>
      </c>
      <c r="B15" s="27" t="n">
        <f aca="false">SUMIFS(Dataset!$E$2:$E$201,Dataset!$K$2:$K$201,A15)</f>
        <v>17655.22</v>
      </c>
      <c r="C15" s="27" t="n">
        <f aca="false">SUMIFS(Dataset!$I$2:$I$201,Dataset!$K$2:$K$201,A15)</f>
        <v>7071.39</v>
      </c>
      <c r="D15" s="23" t="n">
        <f aca="false">COUNTIFS(Dataset!$K$2:$K$201,A15)</f>
        <v>19</v>
      </c>
      <c r="E15" s="44" t="n">
        <f aca="false">IFERROR(B15/B14-1,"")</f>
        <v>0.260514509122998</v>
      </c>
      <c r="F15" s="45" t="str">
        <f aca="false">IF(E15="","",IF(E15&gt;0,"▲",IF(E15&lt;0,"▼","▬")))</f>
        <v>▲</v>
      </c>
      <c r="G15" s="28" t="n">
        <f aca="false">C15/B15</f>
        <v>0.400526869673672</v>
      </c>
    </row>
    <row r="16" customFormat="false" ht="15" hidden="false" customHeight="false" outlineLevel="0" collapsed="false">
      <c r="A16" s="26" t="n">
        <f aca="false">EDATE(A15,1)</f>
        <v>45748</v>
      </c>
      <c r="B16" s="27" t="n">
        <f aca="false">SUMIFS(Dataset!$E$2:$E$201,Dataset!$K$2:$K$201,A16)</f>
        <v>3212.17</v>
      </c>
      <c r="C16" s="27" t="n">
        <f aca="false">SUMIFS(Dataset!$I$2:$I$201,Dataset!$K$2:$K$201,A16)</f>
        <v>1398.85</v>
      </c>
      <c r="D16" s="23" t="n">
        <f aca="false">COUNTIFS(Dataset!$K$2:$K$201,A16)</f>
        <v>4</v>
      </c>
      <c r="E16" s="44" t="n">
        <f aca="false">IFERROR(B16/B15-1,"")</f>
        <v>-0.818061173975742</v>
      </c>
      <c r="F16" s="45" t="str">
        <f aca="false">IF(E16="","",IF(E16&gt;0,"▲",IF(E16&lt;0,"▼","▬")))</f>
        <v>▼</v>
      </c>
      <c r="G16" s="28" t="n">
        <f aca="false">C16/B16</f>
        <v>0.435484423302627</v>
      </c>
    </row>
    <row r="17" customFormat="false" ht="15" hidden="false" customHeight="false" outlineLevel="0" collapsed="false">
      <c r="A17" s="30" t="s">
        <v>157</v>
      </c>
      <c r="B17" s="31" t="n">
        <f aca="false">SUM(B4:B16)</f>
        <v>195217.76</v>
      </c>
      <c r="C17" s="31" t="n">
        <f aca="false">SUM(C4:C16)</f>
        <v>68287.01</v>
      </c>
      <c r="D17" s="30" t="n">
        <f aca="false">SUM(D4:D16)</f>
        <v>200</v>
      </c>
    </row>
  </sheetData>
  <conditionalFormatting sqref="E5:F16">
    <cfRule type="expression" priority="2" aboveAverage="0" equalAverage="0" bottom="0" percent="0" rank="0" text="" dxfId="6">
      <formula>$E5&gt;0</formula>
    </cfRule>
    <cfRule type="expression" priority="3" aboveAverage="0" equalAverage="0" bottom="0" percent="0" rank="0" text="" dxfId="7">
      <formula>$E5&lt;0</formula>
    </cfRule>
  </conditionalFormatting>
  <conditionalFormatting sqref="E5:E16">
    <cfRule type="iconSet" priority="4">
      <iconSet iconSet="3Arrows">
        <cfvo type="num" val="-1"/>
        <cfvo type="num" val="-0.0001"/>
        <cfvo type="num" val="0.0001"/>
      </iconSe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3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29" t="s">
        <v>250</v>
      </c>
    </row>
    <row r="3" customFormat="false" ht="15" hidden="false" customHeight="false" outlineLevel="0" collapsed="false">
      <c r="A3" s="19" t="s">
        <v>251</v>
      </c>
    </row>
    <row r="4" customFormat="false" ht="15" hidden="false" customHeight="false" outlineLevel="0" collapsed="false">
      <c r="A4" s="22" t="s">
        <v>68</v>
      </c>
      <c r="B4" s="22" t="s">
        <v>83</v>
      </c>
      <c r="C4" s="22" t="s">
        <v>86</v>
      </c>
      <c r="D4" s="22" t="s">
        <v>92</v>
      </c>
      <c r="E4" s="22" t="s">
        <v>98</v>
      </c>
      <c r="F4" s="22" t="s">
        <v>110</v>
      </c>
      <c r="G4" s="22" t="s">
        <v>252</v>
      </c>
    </row>
    <row r="5" customFormat="false" ht="15" hidden="false" customHeight="false" outlineLevel="0" collapsed="false">
      <c r="A5" s="23" t="s">
        <v>105</v>
      </c>
      <c r="B5" s="42" t="n">
        <f aca="false">SUMIFS(Dataset!$E$2:$E$201,Dataset!$C$2:$C$201,$A5,Dataset!$D$2:$D$201,B$4)</f>
        <v>11297.15</v>
      </c>
      <c r="C5" s="42" t="n">
        <f aca="false">SUMIFS(Dataset!$E$2:$E$201,Dataset!$C$2:$C$201,$A5,Dataset!$D$2:$D$201,C$4)</f>
        <v>12200.26</v>
      </c>
      <c r="D5" s="42" t="n">
        <f aca="false">SUMIFS(Dataset!$E$2:$E$201,Dataset!$C$2:$C$201,$A5,Dataset!$D$2:$D$201,D$4)</f>
        <v>6621.24</v>
      </c>
      <c r="E5" s="42" t="n">
        <f aca="false">SUMIFS(Dataset!$E$2:$E$201,Dataset!$C$2:$C$201,$A5,Dataset!$D$2:$D$201,E$4)</f>
        <v>4876.96</v>
      </c>
      <c r="F5" s="42" t="n">
        <f aca="false">SUMIFS(Dataset!$E$2:$E$201,Dataset!$C$2:$C$201,$A5,Dataset!$D$2:$D$201,F$4)</f>
        <v>8472.72</v>
      </c>
      <c r="G5" s="46" t="n">
        <f aca="false">SUM(B5:F5)</f>
        <v>43468.33</v>
      </c>
    </row>
    <row r="6" customFormat="false" ht="15" hidden="false" customHeight="false" outlineLevel="0" collapsed="false">
      <c r="A6" s="23" t="s">
        <v>89</v>
      </c>
      <c r="B6" s="42" t="n">
        <f aca="false">SUMIFS(Dataset!$E$2:$E$201,Dataset!$C$2:$C$201,$A6,Dataset!$D$2:$D$201,B$4)</f>
        <v>11389.09</v>
      </c>
      <c r="C6" s="42" t="n">
        <f aca="false">SUMIFS(Dataset!$E$2:$E$201,Dataset!$C$2:$C$201,$A6,Dataset!$D$2:$D$201,C$4)</f>
        <v>2401.45</v>
      </c>
      <c r="D6" s="42" t="n">
        <f aca="false">SUMIFS(Dataset!$E$2:$E$201,Dataset!$C$2:$C$201,$A6,Dataset!$D$2:$D$201,D$4)</f>
        <v>2869.54</v>
      </c>
      <c r="E6" s="42" t="n">
        <f aca="false">SUMIFS(Dataset!$E$2:$E$201,Dataset!$C$2:$C$201,$A6,Dataset!$D$2:$D$201,E$4)</f>
        <v>7592.34</v>
      </c>
      <c r="F6" s="42" t="n">
        <f aca="false">SUMIFS(Dataset!$E$2:$E$201,Dataset!$C$2:$C$201,$A6,Dataset!$D$2:$D$201,F$4)</f>
        <v>8189.22</v>
      </c>
      <c r="G6" s="46" t="n">
        <f aca="false">SUM(B6:F6)</f>
        <v>32441.64</v>
      </c>
    </row>
    <row r="7" customFormat="false" ht="15" hidden="false" customHeight="false" outlineLevel="0" collapsed="false">
      <c r="A7" s="23" t="s">
        <v>95</v>
      </c>
      <c r="B7" s="42" t="n">
        <f aca="false">SUMIFS(Dataset!$E$2:$E$201,Dataset!$C$2:$C$201,$A7,Dataset!$D$2:$D$201,B$4)</f>
        <v>8037.01</v>
      </c>
      <c r="C7" s="42" t="n">
        <f aca="false">SUMIFS(Dataset!$E$2:$E$201,Dataset!$C$2:$C$201,$A7,Dataset!$D$2:$D$201,C$4)</f>
        <v>8422.82</v>
      </c>
      <c r="D7" s="42" t="n">
        <f aca="false">SUMIFS(Dataset!$E$2:$E$201,Dataset!$C$2:$C$201,$A7,Dataset!$D$2:$D$201,D$4)</f>
        <v>8191.71</v>
      </c>
      <c r="E7" s="42" t="n">
        <f aca="false">SUMIFS(Dataset!$E$2:$E$201,Dataset!$C$2:$C$201,$A7,Dataset!$D$2:$D$201,E$4)</f>
        <v>6978.08</v>
      </c>
      <c r="F7" s="42" t="n">
        <f aca="false">SUMIFS(Dataset!$E$2:$E$201,Dataset!$C$2:$C$201,$A7,Dataset!$D$2:$D$201,F$4)</f>
        <v>3345.8</v>
      </c>
      <c r="G7" s="46" t="n">
        <f aca="false">SUM(B7:F7)</f>
        <v>34975.42</v>
      </c>
    </row>
    <row r="8" customFormat="false" ht="15" hidden="false" customHeight="false" outlineLevel="0" collapsed="false">
      <c r="A8" s="23" t="s">
        <v>91</v>
      </c>
      <c r="B8" s="42" t="n">
        <f aca="false">SUMIFS(Dataset!$E$2:$E$201,Dataset!$C$2:$C$201,$A8,Dataset!$D$2:$D$201,B$4)</f>
        <v>9588.04</v>
      </c>
      <c r="C8" s="42" t="n">
        <f aca="false">SUMIFS(Dataset!$E$2:$E$201,Dataset!$C$2:$C$201,$A8,Dataset!$D$2:$D$201,C$4)</f>
        <v>8393.63</v>
      </c>
      <c r="D8" s="42" t="n">
        <f aca="false">SUMIFS(Dataset!$E$2:$E$201,Dataset!$C$2:$C$201,$A8,Dataset!$D$2:$D$201,D$4)</f>
        <v>11989.07</v>
      </c>
      <c r="E8" s="42" t="n">
        <f aca="false">SUMIFS(Dataset!$E$2:$E$201,Dataset!$C$2:$C$201,$A8,Dataset!$D$2:$D$201,E$4)</f>
        <v>7982.73</v>
      </c>
      <c r="F8" s="42" t="n">
        <f aca="false">SUMIFS(Dataset!$E$2:$E$201,Dataset!$C$2:$C$201,$A8,Dataset!$D$2:$D$201,F$4)</f>
        <v>2295.32</v>
      </c>
      <c r="G8" s="46" t="n">
        <f aca="false">SUM(B8:F8)</f>
        <v>40248.79</v>
      </c>
    </row>
    <row r="9" customFormat="false" ht="15" hidden="false" customHeight="false" outlineLevel="0" collapsed="false">
      <c r="A9" s="23" t="s">
        <v>82</v>
      </c>
      <c r="B9" s="42" t="n">
        <f aca="false">SUMIFS(Dataset!$E$2:$E$201,Dataset!$C$2:$C$201,$A9,Dataset!$D$2:$D$201,B$4)</f>
        <v>6691.17</v>
      </c>
      <c r="C9" s="42" t="n">
        <f aca="false">SUMIFS(Dataset!$E$2:$E$201,Dataset!$C$2:$C$201,$A9,Dataset!$D$2:$D$201,C$4)</f>
        <v>10509.43</v>
      </c>
      <c r="D9" s="42" t="n">
        <f aca="false">SUMIFS(Dataset!$E$2:$E$201,Dataset!$C$2:$C$201,$A9,Dataset!$D$2:$D$201,D$4)</f>
        <v>11372.44</v>
      </c>
      <c r="E9" s="42" t="n">
        <f aca="false">SUMIFS(Dataset!$E$2:$E$201,Dataset!$C$2:$C$201,$A9,Dataset!$D$2:$D$201,E$4)</f>
        <v>9182.78</v>
      </c>
      <c r="F9" s="42" t="n">
        <f aca="false">SUMIFS(Dataset!$E$2:$E$201,Dataset!$C$2:$C$201,$A9,Dataset!$D$2:$D$201,F$4)</f>
        <v>6327.76</v>
      </c>
      <c r="G9" s="46" t="n">
        <f aca="false">SUM(B9:F9)</f>
        <v>44083.58</v>
      </c>
    </row>
    <row r="10" customFormat="false" ht="15" hidden="false" customHeight="false" outlineLevel="0" collapsed="false">
      <c r="A10" s="30" t="s">
        <v>252</v>
      </c>
      <c r="B10" s="46" t="n">
        <f aca="false">SUM(B5:B9)</f>
        <v>47002.46</v>
      </c>
      <c r="C10" s="46" t="n">
        <f aca="false">SUM(C5:C9)</f>
        <v>41927.59</v>
      </c>
      <c r="D10" s="46" t="n">
        <f aca="false">SUM(D5:D9)</f>
        <v>41044</v>
      </c>
      <c r="E10" s="46" t="n">
        <f aca="false">SUM(E5:E9)</f>
        <v>36612.89</v>
      </c>
      <c r="F10" s="46" t="n">
        <f aca="false">SUM(F5:F9)</f>
        <v>28630.82</v>
      </c>
      <c r="G10" s="46" t="n">
        <f aca="false">SUM(G5:G9)</f>
        <v>195217.76</v>
      </c>
    </row>
    <row r="12" customFormat="false" ht="15" hidden="false" customHeight="false" outlineLevel="0" collapsed="false">
      <c r="A12" s="19" t="s">
        <v>253</v>
      </c>
    </row>
    <row r="13" customFormat="false" ht="15" hidden="false" customHeight="false" outlineLevel="0" collapsed="false">
      <c r="A13" s="22" t="s">
        <v>68</v>
      </c>
      <c r="B13" s="22" t="s">
        <v>83</v>
      </c>
      <c r="C13" s="22" t="s">
        <v>86</v>
      </c>
      <c r="D13" s="22" t="s">
        <v>92</v>
      </c>
      <c r="E13" s="22" t="s">
        <v>98</v>
      </c>
      <c r="F13" s="22" t="s">
        <v>110</v>
      </c>
      <c r="G13" s="22" t="s">
        <v>252</v>
      </c>
    </row>
    <row r="14" customFormat="false" ht="15" hidden="false" customHeight="false" outlineLevel="0" collapsed="false">
      <c r="A14" s="23" t="s">
        <v>105</v>
      </c>
      <c r="B14" s="42" t="n">
        <f aca="false">SUMIFS(Dataset!$I$2:$I$201,Dataset!$C$2:$C$201,$A14,Dataset!$D$2:$D$201,B$13)</f>
        <v>4201.27</v>
      </c>
      <c r="C14" s="42" t="n">
        <f aca="false">SUMIFS(Dataset!$I$2:$I$201,Dataset!$C$2:$C$201,$A14,Dataset!$D$2:$D$201,C$13)</f>
        <v>5395.6</v>
      </c>
      <c r="D14" s="42" t="n">
        <f aca="false">SUMIFS(Dataset!$I$2:$I$201,Dataset!$C$2:$C$201,$A14,Dataset!$D$2:$D$201,D$13)</f>
        <v>1515.04</v>
      </c>
      <c r="E14" s="42" t="n">
        <f aca="false">SUMIFS(Dataset!$I$2:$I$201,Dataset!$C$2:$C$201,$A14,Dataset!$D$2:$D$201,E$13)</f>
        <v>1566.46</v>
      </c>
      <c r="F14" s="42" t="n">
        <f aca="false">SUMIFS(Dataset!$I$2:$I$201,Dataset!$C$2:$C$201,$A14,Dataset!$D$2:$D$201,F$13)</f>
        <v>3390.03</v>
      </c>
      <c r="G14" s="46" t="n">
        <f aca="false">SUM(B14:F14)</f>
        <v>16068.4</v>
      </c>
    </row>
    <row r="15" customFormat="false" ht="15" hidden="false" customHeight="false" outlineLevel="0" collapsed="false">
      <c r="A15" s="23" t="s">
        <v>89</v>
      </c>
      <c r="B15" s="42" t="n">
        <f aca="false">SUMIFS(Dataset!$I$2:$I$201,Dataset!$C$2:$C$201,$A15,Dataset!$D$2:$D$201,B$13)</f>
        <v>4212.63</v>
      </c>
      <c r="C15" s="42" t="n">
        <f aca="false">SUMIFS(Dataset!$I$2:$I$201,Dataset!$C$2:$C$201,$A15,Dataset!$D$2:$D$201,C$13)</f>
        <v>1025.15</v>
      </c>
      <c r="D15" s="42" t="n">
        <f aca="false">SUMIFS(Dataset!$I$2:$I$201,Dataset!$C$2:$C$201,$A15,Dataset!$D$2:$D$201,D$13)</f>
        <v>662.68</v>
      </c>
      <c r="E15" s="42" t="n">
        <f aca="false">SUMIFS(Dataset!$I$2:$I$201,Dataset!$C$2:$C$201,$A15,Dataset!$D$2:$D$201,E$13)</f>
        <v>2428.08</v>
      </c>
      <c r="F15" s="42" t="n">
        <f aca="false">SUMIFS(Dataset!$I$2:$I$201,Dataset!$C$2:$C$201,$A15,Dataset!$D$2:$D$201,F$13)</f>
        <v>3310.05</v>
      </c>
      <c r="G15" s="46" t="n">
        <f aca="false">SUM(B15:F15)</f>
        <v>11638.59</v>
      </c>
    </row>
    <row r="16" customFormat="false" ht="15" hidden="false" customHeight="false" outlineLevel="0" collapsed="false">
      <c r="A16" s="23" t="s">
        <v>95</v>
      </c>
      <c r="B16" s="42" t="n">
        <f aca="false">SUMIFS(Dataset!$I$2:$I$201,Dataset!$C$2:$C$201,$A16,Dataset!$D$2:$D$201,B$13)</f>
        <v>2778.44</v>
      </c>
      <c r="C16" s="42" t="n">
        <f aca="false">SUMIFS(Dataset!$I$2:$I$201,Dataset!$C$2:$C$201,$A16,Dataset!$D$2:$D$201,C$13)</f>
        <v>3691.09</v>
      </c>
      <c r="D16" s="42" t="n">
        <f aca="false">SUMIFS(Dataset!$I$2:$I$201,Dataset!$C$2:$C$201,$A16,Dataset!$D$2:$D$201,D$13)</f>
        <v>1783.05</v>
      </c>
      <c r="E16" s="42" t="n">
        <f aca="false">SUMIFS(Dataset!$I$2:$I$201,Dataset!$C$2:$C$201,$A16,Dataset!$D$2:$D$201,E$13)</f>
        <v>2217.72</v>
      </c>
      <c r="F16" s="42" t="n">
        <f aca="false">SUMIFS(Dataset!$I$2:$I$201,Dataset!$C$2:$C$201,$A16,Dataset!$D$2:$D$201,F$13)</f>
        <v>1431.98</v>
      </c>
      <c r="G16" s="46" t="n">
        <f aca="false">SUM(B16:F16)</f>
        <v>11902.28</v>
      </c>
    </row>
    <row r="17" customFormat="false" ht="15" hidden="false" customHeight="false" outlineLevel="0" collapsed="false">
      <c r="A17" s="23" t="s">
        <v>91</v>
      </c>
      <c r="B17" s="42" t="n">
        <f aca="false">SUMIFS(Dataset!$I$2:$I$201,Dataset!$C$2:$C$201,$A17,Dataset!$D$2:$D$201,B$13)</f>
        <v>3416.81</v>
      </c>
      <c r="C17" s="42" t="n">
        <f aca="false">SUMIFS(Dataset!$I$2:$I$201,Dataset!$C$2:$C$201,$A17,Dataset!$D$2:$D$201,C$13)</f>
        <v>3944.21</v>
      </c>
      <c r="D17" s="42" t="n">
        <f aca="false">SUMIFS(Dataset!$I$2:$I$201,Dataset!$C$2:$C$201,$A17,Dataset!$D$2:$D$201,D$13)</f>
        <v>2783.44</v>
      </c>
      <c r="E17" s="42" t="n">
        <f aca="false">SUMIFS(Dataset!$I$2:$I$201,Dataset!$C$2:$C$201,$A17,Dataset!$D$2:$D$201,E$13)</f>
        <v>2540.36</v>
      </c>
      <c r="F17" s="42" t="n">
        <f aca="false">SUMIFS(Dataset!$I$2:$I$201,Dataset!$C$2:$C$201,$A17,Dataset!$D$2:$D$201,F$13)</f>
        <v>1007.09</v>
      </c>
      <c r="G17" s="46" t="n">
        <f aca="false">SUM(B17:F17)</f>
        <v>13691.91</v>
      </c>
    </row>
    <row r="18" customFormat="false" ht="15" hidden="false" customHeight="false" outlineLevel="0" collapsed="false">
      <c r="A18" s="23" t="s">
        <v>82</v>
      </c>
      <c r="B18" s="42" t="n">
        <f aca="false">SUMIFS(Dataset!$I$2:$I$201,Dataset!$C$2:$C$201,$A18,Dataset!$D$2:$D$201,B$13)</f>
        <v>2292.48</v>
      </c>
      <c r="C18" s="42" t="n">
        <f aca="false">SUMIFS(Dataset!$I$2:$I$201,Dataset!$C$2:$C$201,$A18,Dataset!$D$2:$D$201,C$13)</f>
        <v>4728.44</v>
      </c>
      <c r="D18" s="42" t="n">
        <f aca="false">SUMIFS(Dataset!$I$2:$I$201,Dataset!$C$2:$C$201,$A18,Dataset!$D$2:$D$201,D$13)</f>
        <v>2437.94</v>
      </c>
      <c r="E18" s="42" t="n">
        <f aca="false">SUMIFS(Dataset!$I$2:$I$201,Dataset!$C$2:$C$201,$A18,Dataset!$D$2:$D$201,E$13)</f>
        <v>2826.52</v>
      </c>
      <c r="F18" s="42" t="n">
        <f aca="false">SUMIFS(Dataset!$I$2:$I$201,Dataset!$C$2:$C$201,$A18,Dataset!$D$2:$D$201,F$13)</f>
        <v>2700.45</v>
      </c>
      <c r="G18" s="46" t="n">
        <f aca="false">SUM(B18:F18)</f>
        <v>14985.83</v>
      </c>
    </row>
    <row r="19" customFormat="false" ht="15" hidden="false" customHeight="false" outlineLevel="0" collapsed="false">
      <c r="A19" s="30" t="s">
        <v>252</v>
      </c>
      <c r="B19" s="46" t="n">
        <f aca="false">SUM(B14:B18)</f>
        <v>16901.63</v>
      </c>
      <c r="C19" s="46" t="n">
        <f aca="false">SUM(C14:C18)</f>
        <v>18784.49</v>
      </c>
      <c r="D19" s="46" t="n">
        <f aca="false">SUM(D14:D18)</f>
        <v>9182.15</v>
      </c>
      <c r="E19" s="46" t="n">
        <f aca="false">SUM(E14:E18)</f>
        <v>11579.14</v>
      </c>
      <c r="F19" s="46" t="n">
        <f aca="false">SUM(F14:F18)</f>
        <v>11839.6</v>
      </c>
      <c r="G19" s="46" t="n">
        <f aca="false">SUM(G14:G18)</f>
        <v>68287.01</v>
      </c>
    </row>
    <row r="21" customFormat="false" ht="15" hidden="false" customHeight="false" outlineLevel="0" collapsed="false">
      <c r="A21" s="19" t="s">
        <v>254</v>
      </c>
    </row>
    <row r="22" customFormat="false" ht="15" hidden="false" customHeight="false" outlineLevel="0" collapsed="false">
      <c r="A22" s="22" t="s">
        <v>68</v>
      </c>
      <c r="B22" s="22" t="s">
        <v>70</v>
      </c>
      <c r="C22" s="22" t="s">
        <v>150</v>
      </c>
      <c r="D22" s="22" t="s">
        <v>255</v>
      </c>
    </row>
    <row r="23" customFormat="false" ht="15" hidden="false" customHeight="false" outlineLevel="0" collapsed="false">
      <c r="A23" s="23" t="s">
        <v>105</v>
      </c>
      <c r="B23" s="42" t="n">
        <f aca="false">SUMIFS(Dataset!$E$2:$E$201,Dataset!$C$2:$C$201,A23)</f>
        <v>43468.33</v>
      </c>
      <c r="C23" s="23" t="n">
        <f aca="false">COUNTIF(Dataset!$C$2:$C$201,A23)</f>
        <v>44</v>
      </c>
      <c r="D23" s="28" t="n">
        <f aca="false">B23/$B$28</f>
        <v>0.222665857860473</v>
      </c>
    </row>
    <row r="24" customFormat="false" ht="15" hidden="false" customHeight="false" outlineLevel="0" collapsed="false">
      <c r="A24" s="23" t="s">
        <v>89</v>
      </c>
      <c r="B24" s="42" t="n">
        <f aca="false">SUMIFS(Dataset!$E$2:$E$201,Dataset!$C$2:$C$201,A24)</f>
        <v>32441.64</v>
      </c>
      <c r="C24" s="23" t="n">
        <f aca="false">COUNTIF(Dataset!$C$2:$C$201,A24)</f>
        <v>32</v>
      </c>
      <c r="D24" s="28" t="n">
        <f aca="false">B24/$B$28</f>
        <v>0.166181806409417</v>
      </c>
    </row>
    <row r="25" customFormat="false" ht="15" hidden="false" customHeight="false" outlineLevel="0" collapsed="false">
      <c r="A25" s="23" t="s">
        <v>95</v>
      </c>
      <c r="B25" s="42" t="n">
        <f aca="false">SUMIFS(Dataset!$E$2:$E$201,Dataset!$C$2:$C$201,A25)</f>
        <v>34975.42</v>
      </c>
      <c r="C25" s="23" t="n">
        <f aca="false">COUNTIF(Dataset!$C$2:$C$201,A25)</f>
        <v>39</v>
      </c>
      <c r="D25" s="28" t="n">
        <f aca="false">B25/$B$28</f>
        <v>0.179161055838362</v>
      </c>
    </row>
    <row r="26" customFormat="false" ht="15" hidden="false" customHeight="false" outlineLevel="0" collapsed="false">
      <c r="A26" s="23" t="s">
        <v>91</v>
      </c>
      <c r="B26" s="42" t="n">
        <f aca="false">SUMIFS(Dataset!$E$2:$E$201,Dataset!$C$2:$C$201,A26)</f>
        <v>40248.79</v>
      </c>
      <c r="C26" s="23" t="n">
        <f aca="false">COUNTIF(Dataset!$C$2:$C$201,A26)</f>
        <v>42</v>
      </c>
      <c r="D26" s="28" t="n">
        <f aca="false">B26/$B$28</f>
        <v>0.206173813284201</v>
      </c>
    </row>
    <row r="27" customFormat="false" ht="15" hidden="false" customHeight="false" outlineLevel="0" collapsed="false">
      <c r="A27" s="23" t="s">
        <v>82</v>
      </c>
      <c r="B27" s="42" t="n">
        <f aca="false">SUMIFS(Dataset!$E$2:$E$201,Dataset!$C$2:$C$201,A27)</f>
        <v>44083.58</v>
      </c>
      <c r="C27" s="23" t="n">
        <f aca="false">COUNTIF(Dataset!$C$2:$C$201,A27)</f>
        <v>43</v>
      </c>
      <c r="D27" s="28" t="n">
        <f aca="false">B27/$B$28</f>
        <v>0.225817466607546</v>
      </c>
    </row>
    <row r="28" customFormat="false" ht="15" hidden="false" customHeight="false" outlineLevel="0" collapsed="false">
      <c r="A28" s="30" t="s">
        <v>157</v>
      </c>
      <c r="B28" s="46" t="n">
        <f aca="false">SUM(B23:B27)</f>
        <v>195217.76</v>
      </c>
      <c r="C28" s="30" t="n">
        <f aca="false">SUM(C23:C27)</f>
        <v>200</v>
      </c>
    </row>
    <row r="30" customFormat="false" ht="15" hidden="false" customHeight="false" outlineLevel="0" collapsed="false">
      <c r="A30" s="19" t="s">
        <v>256</v>
      </c>
    </row>
    <row r="31" customFormat="false" ht="15" hidden="false" customHeight="false" outlineLevel="0" collapsed="false">
      <c r="A31" s="22" t="s">
        <v>257</v>
      </c>
      <c r="B31" s="22" t="s">
        <v>70</v>
      </c>
      <c r="C31" s="22" t="s">
        <v>150</v>
      </c>
      <c r="D31" s="22" t="s">
        <v>255</v>
      </c>
    </row>
    <row r="32" customFormat="false" ht="15" hidden="false" customHeight="false" outlineLevel="0" collapsed="false">
      <c r="A32" s="23" t="s">
        <v>83</v>
      </c>
      <c r="B32" s="42" t="n">
        <f aca="false">SUMIFS(Dataset!$E$2:$E$201,Dataset!$D$2:$D$201,A32)</f>
        <v>47002.46</v>
      </c>
      <c r="C32" s="23" t="n">
        <f aca="false">COUNTIF(Dataset!$D$2:$D$201,A32)</f>
        <v>49</v>
      </c>
      <c r="D32" s="28" t="n">
        <f aca="false">B32/$B$37</f>
        <v>0.240769384916618</v>
      </c>
    </row>
    <row r="33" customFormat="false" ht="15" hidden="false" customHeight="false" outlineLevel="0" collapsed="false">
      <c r="A33" s="23" t="s">
        <v>86</v>
      </c>
      <c r="B33" s="42" t="n">
        <f aca="false">SUMIFS(Dataset!$E$2:$E$201,Dataset!$D$2:$D$201,A33)</f>
        <v>41927.59</v>
      </c>
      <c r="C33" s="23" t="n">
        <f aca="false">COUNTIF(Dataset!$D$2:$D$201,A33)</f>
        <v>41</v>
      </c>
      <c r="D33" s="28" t="n">
        <f aca="false">B33/$B$37</f>
        <v>0.21477344069515</v>
      </c>
    </row>
    <row r="34" customFormat="false" ht="15" hidden="false" customHeight="false" outlineLevel="0" collapsed="false">
      <c r="A34" s="23" t="s">
        <v>92</v>
      </c>
      <c r="B34" s="42" t="n">
        <f aca="false">SUMIFS(Dataset!$E$2:$E$201,Dataset!$D$2:$D$201,A34)</f>
        <v>41044</v>
      </c>
      <c r="C34" s="23" t="n">
        <f aca="false">COUNTIF(Dataset!$D$2:$D$201,A34)</f>
        <v>43</v>
      </c>
      <c r="D34" s="28" t="n">
        <f aca="false">B34/$B$37</f>
        <v>0.21024726438824</v>
      </c>
    </row>
    <row r="35" customFormat="false" ht="15" hidden="false" customHeight="false" outlineLevel="0" collapsed="false">
      <c r="A35" s="23" t="s">
        <v>98</v>
      </c>
      <c r="B35" s="42" t="n">
        <f aca="false">SUMIFS(Dataset!$E$2:$E$201,Dataset!$D$2:$D$201,A35)</f>
        <v>36612.89</v>
      </c>
      <c r="C35" s="23" t="n">
        <f aca="false">COUNTIF(Dataset!$D$2:$D$201,A35)</f>
        <v>36</v>
      </c>
      <c r="D35" s="28" t="n">
        <f aca="false">B35/$B$37</f>
        <v>0.187548970954282</v>
      </c>
    </row>
    <row r="36" customFormat="false" ht="15" hidden="false" customHeight="false" outlineLevel="0" collapsed="false">
      <c r="A36" s="23" t="s">
        <v>110</v>
      </c>
      <c r="B36" s="42" t="n">
        <f aca="false">SUMIFS(Dataset!$E$2:$E$201,Dataset!$D$2:$D$201,A36)</f>
        <v>28630.82</v>
      </c>
      <c r="C36" s="23" t="n">
        <f aca="false">COUNTIF(Dataset!$D$2:$D$201,A36)</f>
        <v>31</v>
      </c>
      <c r="D36" s="28" t="n">
        <f aca="false">B36/$B$37</f>
        <v>0.14666093904571</v>
      </c>
    </row>
    <row r="37" customFormat="false" ht="15" hidden="false" customHeight="false" outlineLevel="0" collapsed="false">
      <c r="A37" s="30" t="s">
        <v>157</v>
      </c>
      <c r="B37" s="46" t="n">
        <f aca="false">SUM(B32:B36)</f>
        <v>195217.76</v>
      </c>
      <c r="C37" s="30" t="n">
        <f aca="false">SUM(C32:C36)</f>
        <v>200</v>
      </c>
    </row>
    <row r="39" customFormat="false" ht="15" hidden="false" customHeight="false" outlineLevel="0" collapsed="false">
      <c r="A39" s="19" t="s">
        <v>258</v>
      </c>
    </row>
    <row r="40" customFormat="false" ht="15" hidden="false" customHeight="false" outlineLevel="0" collapsed="false">
      <c r="A40" s="23" t="s">
        <v>259</v>
      </c>
    </row>
    <row r="41" customFormat="false" ht="15" hidden="false" customHeight="false" outlineLevel="0" collapsed="false">
      <c r="A41" s="23" t="s">
        <v>260</v>
      </c>
    </row>
    <row r="42" customFormat="false" ht="15" hidden="false" customHeight="false" outlineLevel="0" collapsed="false">
      <c r="A42" s="23" t="s">
        <v>261</v>
      </c>
    </row>
    <row r="43" customFormat="false" ht="15" hidden="false" customHeight="false" outlineLevel="0" collapsed="false">
      <c r="A43" s="23" t="s">
        <v>262</v>
      </c>
    </row>
    <row r="44" customFormat="false" ht="15" hidden="false" customHeight="false" outlineLevel="0" collapsed="false">
      <c r="A44" s="23" t="s">
        <v>263</v>
      </c>
    </row>
  </sheetData>
  <conditionalFormatting sqref="B5:F9">
    <cfRule type="dataBar" priority="2">
      <dataBar showValue="1" minLength="10" maxLength="90">
        <cfvo type="min" val="0"/>
        <cfvo type="max" val="0"/>
        <color rgb="FF5B9BD5"/>
      </dataBar>
      <extLst>
        <ext xmlns:x14="http://schemas.microsoft.com/office/spreadsheetml/2009/9/main" uri="{B025F937-C7B1-47D3-B67F-A62EFF666E3E}">
          <x14:id>{88BDDF22-5322-4AD3-B288-5270B0719FE8}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BDDF22-5322-4AD3-B288-5270B0719FE8}">
            <x14:dataBar minLength="10" maxLength="90" axisPosition="none" gradient="true">
              <x14:cfvo type="min"/>
              <x14:cfvo type="max"/>
              <x14:negativeFillColor rgb="FF5B9BD5"/>
              <x14:axisColor rgb="FF000000"/>
            </x14:dataBar>
          </x14:cfRule>
          <xm:sqref>B5:F9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29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0"/>
  </cols>
  <sheetData>
    <row r="1" customFormat="false" ht="33.75" hidden="false" customHeight="true" outlineLevel="0" collapsed="false">
      <c r="A1" s="47" t="s">
        <v>265</v>
      </c>
      <c r="B1" s="47"/>
      <c r="C1" s="47"/>
      <c r="D1" s="47"/>
      <c r="E1" s="47"/>
      <c r="F1" s="47"/>
      <c r="G1" s="47"/>
      <c r="H1" s="47"/>
    </row>
    <row r="2" customFormat="false" ht="15" hidden="false" customHeight="false" outlineLevel="0" collapsed="false">
      <c r="A2" s="21" t="str">
        <f aca="true">"Orders from "&amp;TEXT(MIN(Dataset!$H$2:$H$201),"dd-mmm-yyyy")&amp;" to "&amp;TEXT(MAX(Dataset!$H$2:$H$201),"dd-mmm-yyyy")&amp;"   |   Last refreshed (NOW): "&amp;TEXT(NOW(),"dd-mmm-yyyy hh:mm")</f>
        <v>Orders from 10-Apr-2024 to 07-Apr-2025   |   Last refreshed (NOW): 09-Oct-2026 11:17</v>
      </c>
    </row>
    <row r="3" customFormat="false" ht="15" hidden="false" customHeight="false" outlineLevel="0" collapsed="false">
      <c r="A3" s="48" t="s">
        <v>266</v>
      </c>
      <c r="B3" s="48"/>
      <c r="C3" s="48" t="s">
        <v>267</v>
      </c>
      <c r="D3" s="48"/>
      <c r="E3" s="48" t="s">
        <v>268</v>
      </c>
      <c r="F3" s="48"/>
      <c r="G3" s="48" t="s">
        <v>269</v>
      </c>
      <c r="H3" s="48"/>
    </row>
    <row r="4" customFormat="false" ht="30" hidden="false" customHeight="true" outlineLevel="0" collapsed="false">
      <c r="A4" s="49" t="n">
        <f aca="false">SUM(Dataset!$E$2:$E$201)</f>
        <v>195217.76</v>
      </c>
      <c r="B4" s="49"/>
      <c r="C4" s="49" t="n">
        <f aca="false">SUM(Dataset!$I$2:$I$201)</f>
        <v>68287.01</v>
      </c>
      <c r="D4" s="49"/>
      <c r="E4" s="50" t="n">
        <f aca="false">C4/A4</f>
        <v>0.349799167862596</v>
      </c>
      <c r="F4" s="50"/>
      <c r="G4" s="49" t="n">
        <f aca="false">COUNTA(Dataset!$A$2:$A$201)</f>
        <v>200</v>
      </c>
      <c r="H4" s="49"/>
    </row>
    <row r="6" customFormat="false" ht="15" hidden="false" customHeight="false" outlineLevel="0" collapsed="false">
      <c r="A6" s="48" t="s">
        <v>270</v>
      </c>
      <c r="B6" s="48"/>
      <c r="C6" s="48" t="s">
        <v>271</v>
      </c>
      <c r="D6" s="48"/>
      <c r="E6" s="48" t="s">
        <v>272</v>
      </c>
      <c r="F6" s="48"/>
      <c r="G6" s="48" t="s">
        <v>273</v>
      </c>
      <c r="H6" s="48"/>
    </row>
    <row r="7" customFormat="false" ht="30" hidden="false" customHeight="true" outlineLevel="0" collapsed="false">
      <c r="A7" s="51" t="str">
        <f aca="false">INDEX('Customer Analysis'!A4:A33,MATCH(MAX('Customer Analysis'!C4:C33),'Customer Analysis'!C4:C33,0))</f>
        <v>CUST015</v>
      </c>
      <c r="B7" s="51"/>
      <c r="C7" s="51" t="str">
        <f aca="false">INDEX('Pivot Summary'!A23:A27,MATCH(MAX('Pivot Summary'!B23:B27),'Pivot Summary'!B23:B27,0))</f>
        <v>West</v>
      </c>
      <c r="D7" s="51"/>
      <c r="E7" s="51" t="str">
        <f aca="false">INDEX('Pivot Summary'!A32:A36,MATCH(MAX('Pivot Summary'!B32:B36),'Pivot Summary'!B32:B36,0))</f>
        <v>Books</v>
      </c>
      <c r="F7" s="51"/>
      <c r="G7" s="52" t="n">
        <f aca="false">'Monthly Trend'!E15</f>
        <v>0.260514509122998</v>
      </c>
      <c r="H7" s="52"/>
    </row>
    <row r="41" customFormat="false" ht="15" hidden="false" customHeight="false" outlineLevel="0" collapsed="false">
      <c r="A41" s="19" t="s">
        <v>274</v>
      </c>
    </row>
    <row r="42" customFormat="false" ht="21.75" hidden="false" customHeight="true" outlineLevel="0" collapsed="false">
      <c r="A42" s="41" t="str">
        <f aca="false">"Total sales of "&amp;TEXT(A4,"#,##0")&amp;" from "&amp;TEXT(G4,"#,##0")&amp;" orders gave a profit of "&amp;TEXT(C4,"#,##0")&amp;" (margin "&amp;TEXT(E4,"0.0%")&amp;")."</f>
        <v>Total sales of 195,218 from 200 orders gave a profit of 68,287 (margin 35.0%).</v>
      </c>
      <c r="B42" s="41"/>
      <c r="C42" s="41"/>
      <c r="D42" s="41"/>
      <c r="E42" s="41"/>
      <c r="F42" s="41"/>
      <c r="G42" s="41"/>
      <c r="H42" s="41"/>
    </row>
    <row r="43" customFormat="false" ht="21.75" hidden="false" customHeight="true" outlineLevel="0" collapsed="false">
      <c r="A43" s="41" t="str">
        <f aca="false">"Top customer is "&amp;A7&amp;"; the top 10 customers contribute "&amp;TEXT(SUM('Customer Analysis'!C4:C13)/A4,"0%")&amp;" of total sales."</f>
        <v>Top customer is CUST015; the top 10 customers contribute 47% of total sales.</v>
      </c>
      <c r="B43" s="41"/>
      <c r="C43" s="41"/>
      <c r="D43" s="41"/>
      <c r="E43" s="41"/>
      <c r="F43" s="41"/>
      <c r="G43" s="41"/>
      <c r="H43" s="41"/>
    </row>
    <row r="44" customFormat="false" ht="21.75" hidden="false" customHeight="true" outlineLevel="0" collapsed="false">
      <c r="A44" s="41" t="str">
        <f aca="false">"Best region: "&amp;C7&amp;" and best category: "&amp;E7&amp;"."</f>
        <v>Best region: West and best category: Books.</v>
      </c>
      <c r="B44" s="41"/>
      <c r="C44" s="41"/>
      <c r="D44" s="41"/>
      <c r="E44" s="41"/>
      <c r="F44" s="41"/>
      <c r="G44" s="41"/>
      <c r="H44" s="41"/>
    </row>
    <row r="45" customFormat="false" ht="21.75" hidden="false" customHeight="true" outlineLevel="0" collapsed="false">
      <c r="A45" s="41" t="str">
        <f aca="false">"Discount effect: moving the discount from 10% to 20% changes total profit by "&amp;TEXT('What-If Analysis'!C22-'What-If Analysis'!C20,"#,##0")&amp;" (quantity assumed constant)."</f>
        <v>Discount effect: moving the discount from 10% to 20% changes total profit by -21,803 (quantity assumed constant).</v>
      </c>
      <c r="B45" s="41"/>
      <c r="C45" s="41"/>
      <c r="D45" s="41"/>
      <c r="E45" s="41"/>
      <c r="F45" s="41"/>
      <c r="G45" s="41"/>
      <c r="H45" s="41"/>
    </row>
    <row r="46" customFormat="false" ht="21.75" hidden="false" customHeight="true" outlineLevel="0" collapsed="false">
      <c r="A46" s="41" t="str">
        <f aca="false">"Regression: every extra 1 of Sales adds about "&amp;TEXT(Regression!B18,"0.00")&amp;" of Profit (R² = "&amp;TEXT(Regression!B6,"0.00")&amp;")."</f>
        <v>Regression: every extra 1 of Sales adds about 0.35 of Profit (R² = 0.60).</v>
      </c>
      <c r="B46" s="41"/>
      <c r="C46" s="41"/>
      <c r="D46" s="41"/>
      <c r="E46" s="41"/>
      <c r="F46" s="41"/>
      <c r="G46" s="41"/>
      <c r="H46" s="41"/>
    </row>
    <row r="47" customFormat="false" ht="21.75" hidden="false" customHeight="true" outlineLevel="0" collapsed="false">
      <c r="A47" s="41" t="str">
        <f aca="false">"Last full month ("&amp;TEXT('Monthly Trend'!A15,"mmm-yy")&amp;") sales were "&amp;TEXT('Monthly Trend'!B15,"#,##0")&amp;", "&amp;IF(G7&gt;=0,"up ","down ")&amp;TEXT(ABS(G7),"0.0%")&amp;" versus the prior month."</f>
        <v>Last full month (Mar-25) sales were 17,655, up 26.1% versus the prior month.</v>
      </c>
      <c r="B47" s="41"/>
      <c r="C47" s="41"/>
      <c r="D47" s="41"/>
      <c r="E47" s="41"/>
      <c r="F47" s="41"/>
      <c r="G47" s="41"/>
      <c r="H47" s="41"/>
    </row>
  </sheetData>
  <mergeCells count="23">
    <mergeCell ref="A1:H1"/>
    <mergeCell ref="A3:B3"/>
    <mergeCell ref="C3:D3"/>
    <mergeCell ref="E3:F3"/>
    <mergeCell ref="G3:H3"/>
    <mergeCell ref="A4:B4"/>
    <mergeCell ref="C4:D4"/>
    <mergeCell ref="E4:F4"/>
    <mergeCell ref="G4:H4"/>
    <mergeCell ref="A6:B6"/>
    <mergeCell ref="C6:D6"/>
    <mergeCell ref="E6:F6"/>
    <mergeCell ref="G6:H6"/>
    <mergeCell ref="A7:B7"/>
    <mergeCell ref="C7:D7"/>
    <mergeCell ref="E7:F7"/>
    <mergeCell ref="G7:H7"/>
    <mergeCell ref="A42:H42"/>
    <mergeCell ref="A43:H43"/>
    <mergeCell ref="A44:H44"/>
    <mergeCell ref="A45:H45"/>
    <mergeCell ref="A46:H46"/>
    <mergeCell ref="A47:H47"/>
  </mergeCells>
  <conditionalFormatting sqref="G7">
    <cfRule type="expression" priority="2" aboveAverage="0" equalAverage="0" bottom="0" percent="0" rank="0" text="" dxfId="8">
      <formula>G7&lt;0</formula>
    </cfRule>
    <cfRule type="expression" priority="3" aboveAverage="0" equalAverage="0" bottom="0" percent="0" rank="0" text="" dxfId="9">
      <formula>G7&gt;=0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2026-10-09T11:17:35Z</dcterms:created>
  <dc:creator>openpyxl</dc:creator>
  <dc:description/>
  <dc:language>en-US</dc:language>
  <cp:lastModifiedBy/>
  <dcterms:modified xsi:type="dcterms:W3CDTF">2026-10-09T11:17:37Z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